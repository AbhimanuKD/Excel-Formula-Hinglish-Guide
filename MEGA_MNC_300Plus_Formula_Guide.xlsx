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22 Departments" sheetId="1" state="visible" r:id="rId1"/>
    <sheet name="Department Index" sheetId="2" state="visible" r:id="rId2"/>
  </sheets>
  <definedNames>
    <definedName name="_xlnm._FilterDatabase" localSheetId="0" hidden="1">'All 22 Departments'!$A$3:$G$448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0CAF9"/>
      <sz val="9"/>
    </font>
    <font>
      <name val="Calibri"/>
      <b val="1"/>
      <color rgb="00FFFFFF"/>
      <sz val="11"/>
    </font>
    <font>
      <name val="Calibri"/>
      <color rgb="001C1C1C"/>
      <sz val="10"/>
    </font>
    <font>
      <name val="Consolas"/>
      <b val="1"/>
      <color rgb="001A3C5E"/>
      <sz val="9"/>
    </font>
    <font>
      <name val="Calibri"/>
      <b val="1"/>
      <color rgb="001A3C5E"/>
      <sz val="10"/>
    </font>
    <font>
      <name val="Calibri"/>
      <i val="1"/>
      <color rgb="001A3C5E"/>
      <sz val="10"/>
    </font>
    <font>
      <name val="Calibri"/>
      <i val="1"/>
      <color rgb="001B5E20"/>
      <sz val="10"/>
    </font>
    <font>
      <name val="Calibri"/>
      <i val="1"/>
      <color rgb="000E6655"/>
      <sz val="10"/>
    </font>
    <font>
      <name val="Calibri"/>
      <i val="1"/>
      <color rgb="007D6608"/>
      <sz val="10"/>
    </font>
    <font>
      <name val="Calibri"/>
      <i val="1"/>
      <color rgb="007B241C"/>
      <sz val="10"/>
    </font>
    <font>
      <name val="Calibri"/>
      <i val="1"/>
      <color rgb="004A235A"/>
      <sz val="10"/>
    </font>
    <font>
      <name val="Calibri"/>
      <i val="1"/>
      <color rgb="001F618D"/>
      <sz val="10"/>
    </font>
    <font>
      <name val="Calibri"/>
      <i val="1"/>
      <color rgb="00784212"/>
      <sz val="10"/>
    </font>
    <font>
      <name val="Calibri"/>
      <i val="1"/>
      <color rgb="001E8449"/>
      <sz val="10"/>
    </font>
    <font>
      <name val="Calibri"/>
      <i val="1"/>
      <color rgb="00154360"/>
      <sz val="10"/>
    </font>
    <font>
      <name val="Calibri"/>
      <i val="1"/>
      <color rgb="006B2FBF"/>
      <sz val="10"/>
    </font>
    <font>
      <name val="Calibri"/>
      <i val="1"/>
      <color rgb="001A5276"/>
      <sz val="10"/>
    </font>
    <font>
      <name val="Calibri"/>
      <i val="1"/>
      <color rgb="00566573"/>
      <sz val="10"/>
    </font>
    <font>
      <name val="Calibri"/>
      <i val="1"/>
      <color rgb="006B2737"/>
      <sz val="10"/>
    </font>
    <font>
      <name val="Calibri"/>
      <i val="1"/>
      <color rgb="00145A32"/>
      <sz val="10"/>
    </font>
    <font>
      <name val="Calibri"/>
      <i val="1"/>
      <color rgb="000B5345"/>
      <sz val="10"/>
    </font>
    <font>
      <name val="Calibri"/>
      <i val="1"/>
      <color rgb="005D4037"/>
      <sz val="10"/>
    </font>
    <font>
      <name val="Calibri"/>
      <i val="1"/>
      <color rgb="001A237E"/>
      <sz val="10"/>
    </font>
    <font>
      <name val="Calibri"/>
      <i val="1"/>
      <color rgb="004A148C"/>
      <sz val="10"/>
    </font>
    <font>
      <name val="Calibri"/>
      <i val="1"/>
      <color rgb="00212121"/>
      <sz val="10"/>
    </font>
    <font>
      <name val="Calibri"/>
      <i val="1"/>
      <color rgb="00263238"/>
      <sz val="10"/>
    </font>
    <font>
      <name val="Calibri"/>
      <b val="1"/>
      <color rgb="00FFFFFF"/>
      <sz val="13"/>
    </font>
    <font>
      <name val="Calibri"/>
      <b val="1"/>
      <sz val="11"/>
    </font>
    <font>
      <name val="Consolas"/>
      <color rgb="001A3C5E"/>
      <sz val="9"/>
    </font>
    <font>
      <name val="Calibri"/>
      <i val="1"/>
      <sz val="10"/>
    </font>
    <font>
      <name val="Calibri"/>
      <b val="1"/>
      <color rgb="000E6655"/>
      <sz val="10"/>
    </font>
    <font>
      <name val="Calibri"/>
      <b val="1"/>
      <color rgb="007D6608"/>
      <sz val="10"/>
    </font>
    <font>
      <name val="Calibri"/>
      <b val="1"/>
      <color rgb="002C3E50"/>
      <sz val="10"/>
    </font>
    <font>
      <name val="Calibri"/>
      <b val="1"/>
      <color rgb="004A235A"/>
      <sz val="10"/>
    </font>
    <font>
      <name val="Calibri"/>
      <b val="1"/>
      <color rgb="001F618D"/>
      <sz val="10"/>
    </font>
    <font>
      <name val="Calibri"/>
      <b val="1"/>
      <color rgb="00784212"/>
      <sz val="10"/>
    </font>
    <font>
      <name val="Calibri"/>
      <b val="1"/>
      <color rgb="001E8449"/>
      <sz val="10"/>
    </font>
    <font>
      <name val="Calibri"/>
      <b val="1"/>
      <color rgb="00154360"/>
      <sz val="10"/>
    </font>
    <font>
      <name val="Calibri"/>
      <b val="1"/>
      <color rgb="006B2FBF"/>
      <sz val="10"/>
    </font>
    <font>
      <name val="Calibri"/>
      <b val="1"/>
      <color rgb="001A5276"/>
      <sz val="10"/>
    </font>
    <font>
      <name val="Calibri"/>
      <b val="1"/>
      <color rgb="00566573"/>
      <sz val="10"/>
    </font>
    <font>
      <name val="Calibri"/>
      <b val="1"/>
      <color rgb="006B2737"/>
      <sz val="10"/>
    </font>
    <font>
      <name val="Calibri"/>
      <b val="1"/>
      <color rgb="00145A32"/>
      <sz val="10"/>
    </font>
    <font>
      <name val="Calibri"/>
      <b val="1"/>
      <color rgb="000B5345"/>
      <sz val="10"/>
    </font>
    <font>
      <name val="Calibri"/>
      <b val="1"/>
      <color rgb="005D4037"/>
      <sz val="10"/>
    </font>
    <font>
      <name val="Calibri"/>
      <b val="1"/>
      <color rgb="001A237E"/>
      <sz val="10"/>
    </font>
    <font>
      <name val="Calibri"/>
      <b val="1"/>
      <color rgb="004A148C"/>
      <sz val="10"/>
    </font>
    <font>
      <name val="Calibri"/>
      <b val="1"/>
      <color rgb="00212121"/>
      <sz val="10"/>
    </font>
    <font>
      <name val="Calibri"/>
      <b val="1"/>
      <color rgb="00263238"/>
      <sz val="10"/>
    </font>
  </fonts>
  <fills count="42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1B2631"/>
      </patternFill>
    </fill>
    <fill>
      <patternFill patternType="solid">
        <fgColor rgb="001A3C5E"/>
      </patternFill>
    </fill>
    <fill>
      <patternFill patternType="solid">
        <fgColor rgb="00D6EAF8"/>
      </patternFill>
    </fill>
    <fill>
      <patternFill patternType="solid">
        <fgColor rgb="00FFFFF0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0E6655"/>
      </patternFill>
    </fill>
    <fill>
      <patternFill patternType="solid">
        <fgColor rgb="00D5F5E3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1F618D"/>
      </patternFill>
    </fill>
    <fill>
      <patternFill patternType="solid">
        <fgColor rgb="00EBF5FB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1E8449"/>
      </patternFill>
    </fill>
    <fill>
      <patternFill patternType="solid">
        <fgColor rgb="00154360"/>
      </patternFill>
    </fill>
    <fill>
      <patternFill patternType="solid">
        <fgColor rgb="006B2FBF"/>
      </patternFill>
    </fill>
    <fill>
      <patternFill patternType="solid">
        <fgColor rgb="00F0E6FF"/>
      </patternFill>
    </fill>
    <fill>
      <patternFill patternType="solid">
        <fgColor rgb="001A5276"/>
      </patternFill>
    </fill>
    <fill>
      <patternFill patternType="solid">
        <fgColor rgb="00566573"/>
      </patternFill>
    </fill>
    <fill>
      <patternFill patternType="solid">
        <fgColor rgb="00EAECEE"/>
      </patternFill>
    </fill>
    <fill>
      <patternFill patternType="solid">
        <fgColor rgb="006B2737"/>
      </patternFill>
    </fill>
    <fill>
      <patternFill patternType="solid">
        <fgColor rgb="00145A32"/>
      </patternFill>
    </fill>
    <fill>
      <patternFill patternType="solid">
        <fgColor rgb="000B5345"/>
      </patternFill>
    </fill>
    <fill>
      <patternFill patternType="solid">
        <fgColor rgb="00A9DFBF"/>
      </patternFill>
    </fill>
    <fill>
      <patternFill patternType="solid">
        <fgColor rgb="005D4037"/>
      </patternFill>
    </fill>
    <fill>
      <patternFill patternType="solid">
        <fgColor rgb="00FBE9E7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212121"/>
      </patternFill>
    </fill>
    <fill>
      <patternFill patternType="solid">
        <fgColor rgb="00F5F5F5"/>
      </patternFill>
    </fill>
    <fill>
      <patternFill patternType="solid">
        <fgColor rgb="00263238"/>
      </patternFill>
    </fill>
    <fill>
      <patternFill patternType="solid">
        <fgColor rgb="00ECEFF1"/>
      </patternFill>
    </fill>
  </fills>
  <borders count="3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medium">
        <color rgb="000A0F1E"/>
      </left>
      <right style="medium">
        <color rgb="000A0F1E"/>
      </right>
      <top style="medium">
        <color rgb="000A0F1E"/>
      </top>
      <bottom style="medium">
        <color rgb="000A0F1E"/>
      </bottom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3" fillId="22" borderId="2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3" fillId="23" borderId="2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3" fillId="25" borderId="2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3" fillId="26" borderId="2" applyAlignment="1" pivotButton="0" quotePrefix="0" xfId="0">
      <alignment horizontal="left" vertical="center"/>
    </xf>
    <xf numFmtId="0" fontId="4" fillId="27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 vertical="center" wrapText="1"/>
    </xf>
    <xf numFmtId="0" fontId="6" fillId="27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3" fillId="28" borderId="2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3" fillId="29" borderId="2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3" fillId="30" borderId="2" applyAlignment="1" pivotButton="0" quotePrefix="0" xfId="0">
      <alignment horizontal="left" vertical="center"/>
    </xf>
    <xf numFmtId="0" fontId="4" fillId="31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left" vertical="center" wrapText="1"/>
    </xf>
    <xf numFmtId="0" fontId="6" fillId="31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3" fillId="32" borderId="2" applyAlignment="1" pivotButton="0" quotePrefix="0" xfId="0">
      <alignment horizontal="left" vertical="center"/>
    </xf>
    <xf numFmtId="0" fontId="23" fillId="8" borderId="1" applyAlignment="1" pivotButton="0" quotePrefix="0" xfId="0">
      <alignment horizontal="left" vertical="center" wrapText="1"/>
    </xf>
    <xf numFmtId="0" fontId="4" fillId="33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left" vertical="center" wrapText="1"/>
    </xf>
    <xf numFmtId="0" fontId="6" fillId="33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3" fillId="34" borderId="2" applyAlignment="1" pivotButton="0" quotePrefix="0" xfId="0">
      <alignment horizontal="left" vertical="center"/>
    </xf>
    <xf numFmtId="0" fontId="24" fillId="8" borderId="1" applyAlignment="1" pivotButton="0" quotePrefix="0" xfId="0">
      <alignment horizontal="left" vertical="center" wrapText="1"/>
    </xf>
    <xf numFmtId="0" fontId="4" fillId="35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left" vertical="center" wrapText="1"/>
    </xf>
    <xf numFmtId="0" fontId="6" fillId="35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3" fillId="36" borderId="2" applyAlignment="1" pivotButton="0" quotePrefix="0" xfId="0">
      <alignment horizontal="left" vertical="center"/>
    </xf>
    <xf numFmtId="0" fontId="4" fillId="37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left" vertical="center" wrapText="1"/>
    </xf>
    <xf numFmtId="0" fontId="6" fillId="37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0" fontId="3" fillId="38" borderId="2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left" vertical="center" wrapText="1"/>
    </xf>
    <xf numFmtId="0" fontId="6" fillId="39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 wrapText="1"/>
    </xf>
    <xf numFmtId="0" fontId="3" fillId="40" borderId="2" applyAlignment="1" pivotButton="0" quotePrefix="0" xfId="0">
      <alignment horizontal="left" vertical="center"/>
    </xf>
    <xf numFmtId="0" fontId="4" fillId="41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left" vertical="center" wrapText="1"/>
    </xf>
    <xf numFmtId="0" fontId="6" fillId="41" borderId="1" applyAlignment="1" pivotButton="0" quotePrefix="0" xfId="0">
      <alignment horizontal="center" vertical="center" wrapText="1"/>
    </xf>
    <xf numFmtId="0" fontId="4" fillId="41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 wrapText="1"/>
    </xf>
    <xf numFmtId="0" fontId="28" fillId="2" borderId="0" applyAlignment="1" pivotButton="0" quotePrefix="0" xfId="0">
      <alignment horizontal="center" vertical="center" wrapText="1"/>
    </xf>
    <xf numFmtId="0" fontId="29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30" fillId="18" borderId="1" applyAlignment="1" pivotButton="0" quotePrefix="0" xfId="0">
      <alignment horizontal="left" vertical="center" wrapText="1"/>
    </xf>
    <xf numFmtId="0" fontId="31" fillId="18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center" vertical="center" wrapText="1"/>
    </xf>
    <xf numFmtId="0" fontId="32" fillId="8" borderId="1" applyAlignment="1" pivotButton="0" quotePrefix="0" xfId="0">
      <alignment horizontal="left" vertical="center" wrapText="1"/>
    </xf>
    <xf numFmtId="0" fontId="30" fillId="8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left" vertical="center" wrapText="1"/>
    </xf>
    <xf numFmtId="0" fontId="33" fillId="18" borderId="1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left" vertical="center" wrapText="1"/>
    </xf>
    <xf numFmtId="0" fontId="35" fillId="18" borderId="1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 wrapText="1"/>
    </xf>
    <xf numFmtId="0" fontId="37" fillId="18" borderId="1" applyAlignment="1" pivotButton="0" quotePrefix="0" xfId="0">
      <alignment horizontal="left" vertical="center" wrapText="1"/>
    </xf>
    <xf numFmtId="0" fontId="38" fillId="8" borderId="1" applyAlignment="1" pivotButton="0" quotePrefix="0" xfId="0">
      <alignment horizontal="left" vertical="center" wrapText="1"/>
    </xf>
    <xf numFmtId="0" fontId="39" fillId="18" borderId="1" applyAlignment="1" pivotButton="0" quotePrefix="0" xfId="0">
      <alignment horizontal="left" vertical="center" wrapText="1"/>
    </xf>
    <xf numFmtId="0" fontId="40" fillId="8" borderId="1" applyAlignment="1" pivotButton="0" quotePrefix="0" xfId="0">
      <alignment horizontal="left" vertical="center" wrapText="1"/>
    </xf>
    <xf numFmtId="0" fontId="32" fillId="18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left" vertical="center" wrapText="1"/>
    </xf>
    <xf numFmtId="0" fontId="41" fillId="18" borderId="1" applyAlignment="1" pivotButton="0" quotePrefix="0" xfId="0">
      <alignment horizontal="left" vertical="center" wrapText="1"/>
    </xf>
    <xf numFmtId="0" fontId="42" fillId="8" borderId="1" applyAlignment="1" pivotButton="0" quotePrefix="0" xfId="0">
      <alignment horizontal="left" vertical="center" wrapText="1"/>
    </xf>
    <xf numFmtId="0" fontId="43" fillId="18" borderId="1" applyAlignment="1" pivotButton="0" quotePrefix="0" xfId="0">
      <alignment horizontal="left" vertical="center" wrapText="1"/>
    </xf>
    <xf numFmtId="0" fontId="44" fillId="8" borderId="1" applyAlignment="1" pivotButton="0" quotePrefix="0" xfId="0">
      <alignment horizontal="left" vertical="center" wrapText="1"/>
    </xf>
    <xf numFmtId="0" fontId="45" fillId="18" borderId="1" applyAlignment="1" pivotButton="0" quotePrefix="0" xfId="0">
      <alignment horizontal="left" vertical="center" wrapText="1"/>
    </xf>
    <xf numFmtId="0" fontId="46" fillId="8" borderId="1" applyAlignment="1" pivotButton="0" quotePrefix="0" xfId="0">
      <alignment horizontal="left" vertical="center" wrapText="1"/>
    </xf>
    <xf numFmtId="0" fontId="47" fillId="18" borderId="1" applyAlignment="1" pivotButton="0" quotePrefix="0" xfId="0">
      <alignment horizontal="left" vertical="center" wrapText="1"/>
    </xf>
    <xf numFmtId="0" fontId="48" fillId="8" borderId="1" applyAlignment="1" pivotButton="0" quotePrefix="0" xfId="0">
      <alignment horizontal="left" vertical="center" wrapText="1"/>
    </xf>
    <xf numFmtId="0" fontId="49" fillId="18" borderId="1" applyAlignment="1" pivotButton="0" quotePrefix="0" xfId="0">
      <alignment horizontal="left" vertical="center" wrapText="1"/>
    </xf>
    <xf numFmtId="0" fontId="5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42" customWidth="1" min="4" max="4"/>
    <col width="48" customWidth="1" min="5" max="5"/>
    <col width="46" customWidth="1" min="6" max="6"/>
    <col width="58" customWidth="1" min="7" max="7"/>
  </cols>
  <sheetData>
    <row r="1" ht="36" customHeight="1">
      <c r="A1" s="1" t="inlineStr">
        <is>
          <t>MEGA MNC EXCEL FORMULA GUIDE  |  300+ Formulas  |  22 Departments  |  English &amp; Hinglish</t>
        </is>
      </c>
    </row>
    <row r="2" ht="18" customHeight="1">
      <c r="A2" s="2" t="inlineStr">
        <is>
          <t>Production|Quality|Utility|Safety|Maintenance|Stores|Purchase|Finance|HR|Sales|Logistics|Planning|IT|Admin|R&amp;D|Academy|Environmental|Costing|Customer Service|Legal|MIS|General</t>
        </is>
      </c>
    </row>
    <row r="3" ht="30" customHeight="1">
      <c r="A3" s="3" t="inlineStr">
        <is>
          <t>#</t>
        </is>
      </c>
      <c r="B3" s="3" t="inlineStr">
        <is>
          <t>Excel Formula / Syntax</t>
        </is>
      </c>
      <c r="C3" s="3" t="inlineStr">
        <is>
          <t>Focus / Kaam</t>
        </is>
      </c>
      <c r="D3" s="3" t="inlineStr">
        <is>
          <t>English — What It Does</t>
        </is>
      </c>
      <c r="E3" s="3" t="inlineStr">
        <is>
          <t>Hinglish — Kaise Use Karein</t>
        </is>
      </c>
      <c r="F3" s="3" t="inlineStr">
        <is>
          <t>Hinglish — Formula Ka Naam Kya Hai</t>
        </is>
      </c>
      <c r="G3" s="3" t="inlineStr">
        <is>
          <t>MNC Real Example — Kahan Kaam Aata Hai</t>
        </is>
      </c>
    </row>
    <row r="4" ht="26" customHeight="1">
      <c r="A4" s="4" t="inlineStr">
        <is>
          <t xml:space="preserve">  ►  1. PRODUCTION DEPARTMENT — Utpadan Vibhag</t>
        </is>
      </c>
    </row>
    <row r="5" ht="52" customHeight="1">
      <c r="A5" s="5" t="inlineStr">
        <is>
          <t>1</t>
        </is>
      </c>
      <c r="B5" s="6">
        <f>SUM(C2:C32)</f>
        <v/>
      </c>
      <c r="C5" s="7" t="inlineStr">
        <is>
          <t>Monthly Output</t>
        </is>
      </c>
      <c r="D5" s="8" t="inlineStr">
        <is>
          <t>Sum of all daily production for the month.</t>
        </is>
      </c>
      <c r="E5" s="8" t="inlineStr">
        <is>
          <t>Roz ki production jodke monthly total nikalo.</t>
        </is>
      </c>
      <c r="F5" s="9" t="inlineStr">
        <is>
          <t>'SUM'=Jod — 30 din ka total.</t>
        </is>
      </c>
      <c r="G5" s="10" t="inlineStr">
        <is>
          <t>MNC: Monthly production report — total units.</t>
        </is>
      </c>
    </row>
    <row r="6" ht="52" customHeight="1">
      <c r="A6" s="11" t="inlineStr">
        <is>
          <t>2</t>
        </is>
      </c>
      <c r="B6" s="12">
        <f>D2/E2*100</f>
        <v/>
      </c>
      <c r="C6" s="13" t="inlineStr">
        <is>
          <t>Efficiency %</t>
        </is>
      </c>
      <c r="D6" s="14" t="inlineStr">
        <is>
          <t>Actual ÷ Planned × 100.</t>
        </is>
      </c>
      <c r="E6" s="14" t="inlineStr">
        <is>
          <t>Actual production target se kitni % efficient rahi.</t>
        </is>
      </c>
      <c r="F6" s="15" t="inlineStr">
        <is>
          <t>Actual/Target×100 = Efficiency %.</t>
        </is>
      </c>
      <c r="G6" s="16" t="inlineStr">
        <is>
          <t>MNC: Shift-wise daily efficiency tracking.</t>
        </is>
      </c>
    </row>
    <row r="7" ht="52" customHeight="1">
      <c r="A7" s="5" t="inlineStr">
        <is>
          <t>3</t>
        </is>
      </c>
      <c r="B7" s="6">
        <f>IF(D2/E2*100&gt;=95,"World Class",IF(D2/E2*100&gt;=85,"Good",IF(D2/E2*100&gt;=75,"Average","Poor")))</f>
        <v/>
      </c>
      <c r="C7" s="7" t="inlineStr">
        <is>
          <t>Efficiency Grade</t>
        </is>
      </c>
      <c r="D7" s="8" t="inlineStr">
        <is>
          <t>Auto-grades production efficiency.</t>
        </is>
      </c>
      <c r="E7" s="8" t="inlineStr">
        <is>
          <t>Efficiency % se grade auto-assign karo.</t>
        </is>
      </c>
      <c r="F7" s="9" t="inlineStr">
        <is>
          <t>IF Nested = % se grade.</t>
        </is>
      </c>
      <c r="G7" s="10" t="inlineStr">
        <is>
          <t>MNC: Daily shift grade auto-assign.</t>
        </is>
      </c>
    </row>
    <row r="8" ht="52" customHeight="1">
      <c r="A8" s="11" t="inlineStr">
        <is>
          <t>4</t>
        </is>
      </c>
      <c r="B8" s="12">
        <f>(E2-F2)/E2*100</f>
        <v/>
      </c>
      <c r="C8" s="13" t="inlineStr">
        <is>
          <t>Downtime %</t>
        </is>
      </c>
      <c r="D8" s="14" t="inlineStr">
        <is>
          <t>Machine downtime percentage.</t>
        </is>
      </c>
      <c r="E8" s="14" t="inlineStr">
        <is>
          <t>Machine kitna % time band rahi.</t>
        </is>
      </c>
      <c r="F8" s="15" t="inlineStr">
        <is>
          <t>(Total-Running)/Total×100 = Downtime %.</t>
        </is>
      </c>
      <c r="G8" s="16" t="inlineStr">
        <is>
          <t>MNC: Shift report — machine downtime %.</t>
        </is>
      </c>
    </row>
    <row r="9" ht="52" customHeight="1">
      <c r="A9" s="5" t="inlineStr">
        <is>
          <t>5</t>
        </is>
      </c>
      <c r="B9" s="6">
        <f>F2/E2*100</f>
        <v/>
      </c>
      <c r="C9" s="7" t="inlineStr">
        <is>
          <t>Uptime %</t>
        </is>
      </c>
      <c r="D9" s="8" t="inlineStr">
        <is>
          <t>Machine running time percentage.</t>
        </is>
      </c>
      <c r="E9" s="8" t="inlineStr">
        <is>
          <t>Machine kitna % time chali.</t>
        </is>
      </c>
      <c r="F9" s="9" t="inlineStr">
        <is>
          <t>Running/Total×100 = Uptime %.</t>
        </is>
      </c>
      <c r="G9" s="10" t="inlineStr">
        <is>
          <t>MNC: Equipment availability for OEE.</t>
        </is>
      </c>
    </row>
    <row r="10" ht="52" customHeight="1">
      <c r="A10" s="11" t="inlineStr">
        <is>
          <t>6</t>
        </is>
      </c>
      <c r="B10" s="12">
        <f>(E2-F2-G2)/E2*100</f>
        <v/>
      </c>
      <c r="C10" s="13" t="inlineStr">
        <is>
          <t>OEE %</t>
        </is>
      </c>
      <c r="D10" s="14" t="inlineStr">
        <is>
          <t>Overall Equipment Effectiveness.</t>
        </is>
      </c>
      <c r="E10" s="14" t="inlineStr">
        <is>
          <t>Machine ki overall effectiveness % — 85%+ World Class.</t>
        </is>
      </c>
      <c r="F10" s="15" t="inlineStr">
        <is>
          <t>OEE=(Avail-DT-Loss)/Total×100.</t>
        </is>
      </c>
      <c r="G10" s="16" t="inlineStr">
        <is>
          <t>MNC: TPM — daily OEE tracking.</t>
        </is>
      </c>
    </row>
    <row r="11" ht="52" customHeight="1">
      <c r="A11" s="5" t="inlineStr">
        <is>
          <t>7</t>
        </is>
      </c>
      <c r="B11" s="6">
        <f>D2*E2</f>
        <v/>
      </c>
      <c r="C11" s="7" t="inlineStr">
        <is>
          <t>Production Value ₹</t>
        </is>
      </c>
      <c r="D11" s="8" t="inlineStr">
        <is>
          <t>Units produced × rate = production value.</t>
        </is>
      </c>
      <c r="E11" s="8" t="inlineStr">
        <is>
          <t>Units × rate = production ka rupay mein mool.</t>
        </is>
      </c>
      <c r="F11" s="9" t="inlineStr">
        <is>
          <t>Units × Rate = ₹ Value.</t>
        </is>
      </c>
      <c r="G11" s="10" t="inlineStr">
        <is>
          <t>MNC: Shift production value for costing.</t>
        </is>
      </c>
    </row>
    <row r="12" ht="52" customHeight="1">
      <c r="A12" s="11" t="inlineStr">
        <is>
          <t>8</t>
        </is>
      </c>
      <c r="B12" s="12">
        <f>SUMIF(B:B,"Line-1",C:C)</f>
        <v/>
      </c>
      <c r="C12" s="13" t="inlineStr">
        <is>
          <t>Line-wise Output</t>
        </is>
      </c>
      <c r="D12" s="14" t="inlineStr">
        <is>
          <t>Total production from Line-1.</t>
        </is>
      </c>
      <c r="E12" s="14" t="inlineStr">
        <is>
          <t>Sirf ek line ki production nikalo.</t>
        </is>
      </c>
      <c r="F12" s="15" t="inlineStr">
        <is>
          <t>'SUMIF'=Line filter karo production jodo.</t>
        </is>
      </c>
      <c r="G12" s="16" t="inlineStr">
        <is>
          <t>MNC: Multi-line comparison report.</t>
        </is>
      </c>
    </row>
    <row r="13" ht="52" customHeight="1">
      <c r="A13" s="5" t="inlineStr">
        <is>
          <t>9</t>
        </is>
      </c>
      <c r="B13" s="6">
        <f>D2-E2</f>
        <v/>
      </c>
      <c r="C13" s="7" t="inlineStr">
        <is>
          <t>Prod Variance</t>
        </is>
      </c>
      <c r="D13" s="8" t="inlineStr">
        <is>
          <t>Actual minus planned production.</t>
        </is>
      </c>
      <c r="E13" s="8" t="inlineStr">
        <is>
          <t>Actual aur plan ke beech ka farq.</t>
        </is>
      </c>
      <c r="F13" s="9" t="inlineStr">
        <is>
          <t>Actual-Plan=Variance.</t>
        </is>
      </c>
      <c r="G13" s="10" t="inlineStr">
        <is>
          <t>MNC: Daily variance — gap analysis.</t>
        </is>
      </c>
    </row>
    <row r="14" ht="52" customHeight="1">
      <c r="A14" s="11" t="inlineStr">
        <is>
          <t>10</t>
        </is>
      </c>
      <c r="B14" s="12">
        <f>IF(D2&gt;=E2,"Target Met","Short: "&amp;(E2-D2)&amp;" units")</f>
        <v/>
      </c>
      <c r="C14" s="13" t="inlineStr">
        <is>
          <t>Target Status</t>
        </is>
      </c>
      <c r="D14" s="14" t="inlineStr">
        <is>
          <t>Met or shortfall label.</t>
        </is>
      </c>
      <c r="E14" s="14" t="inlineStr">
        <is>
          <t>Target met hua ya kitna short raha.</t>
        </is>
      </c>
      <c r="F14" s="15" t="inlineStr">
        <is>
          <t>IF=Target check — met ya shortfall.</t>
        </is>
      </c>
      <c r="G14" s="16" t="inlineStr">
        <is>
          <t>MNC: Shift manager production alert.</t>
        </is>
      </c>
    </row>
    <row r="15" ht="52" customHeight="1">
      <c r="A15" s="5" t="inlineStr">
        <is>
          <t>11</t>
        </is>
      </c>
      <c r="B15" s="6">
        <f>D2*E2/60</f>
        <v/>
      </c>
      <c r="C15" s="7" t="inlineStr">
        <is>
          <t>Cycle Time min</t>
        </is>
      </c>
      <c r="D15" s="8" t="inlineStr">
        <is>
          <t>Units × time / 60 = cycle time in minutes.</t>
        </is>
      </c>
      <c r="E15" s="8" t="inlineStr">
        <is>
          <t>Ek unit banane ka cycle time minutes mein.</t>
        </is>
      </c>
      <c r="F15" s="9" t="inlineStr">
        <is>
          <t>Units×Time/60=Cycle Time.</t>
        </is>
      </c>
      <c r="G15" s="10" t="inlineStr">
        <is>
          <t>MNC: Line balancing — takt vs cycle.</t>
        </is>
      </c>
    </row>
    <row r="16" ht="52" customHeight="1">
      <c r="A16" s="11" t="inlineStr">
        <is>
          <t>12</t>
        </is>
      </c>
      <c r="B16" s="12">
        <f>3600/D2</f>
        <v/>
      </c>
      <c r="C16" s="13" t="inlineStr">
        <is>
          <t>Takt Time sec</t>
        </is>
      </c>
      <c r="D16" s="14" t="inlineStr">
        <is>
          <t>Available time ÷ demand = takt time.</t>
        </is>
      </c>
      <c r="E16" s="14" t="inlineStr">
        <is>
          <t>Customer demand se takt time nikalo.</t>
        </is>
      </c>
      <c r="F16" s="15" t="inlineStr">
        <is>
          <t>3600/Units = Takt Time seconds.</t>
        </is>
      </c>
      <c r="G16" s="16" t="inlineStr">
        <is>
          <t>MNC: Lean — takt time calculation.</t>
        </is>
      </c>
    </row>
    <row r="17" ht="52" customHeight="1">
      <c r="A17" s="5" t="inlineStr">
        <is>
          <t>13</t>
        </is>
      </c>
      <c r="B17" s="6">
        <f>D2*E2</f>
        <v/>
      </c>
      <c r="C17" s="7" t="inlineStr">
        <is>
          <t>Scrap Cost ₹</t>
        </is>
      </c>
      <c r="D17" s="8" t="inlineStr">
        <is>
          <t>Rejected units × cost per unit.</t>
        </is>
      </c>
      <c r="E17" s="8" t="inlineStr">
        <is>
          <t>Rejected units × cost = scrap loss.</t>
        </is>
      </c>
      <c r="F17" s="9" t="inlineStr">
        <is>
          <t>Rejection×Rate=Scrap Cost ₹.</t>
        </is>
      </c>
      <c r="G17" s="10" t="inlineStr">
        <is>
          <t>MNC: Monthly scrap cost — cost reduction.</t>
        </is>
      </c>
    </row>
    <row r="18" ht="52" customHeight="1">
      <c r="A18" s="11" t="inlineStr">
        <is>
          <t>14</t>
        </is>
      </c>
      <c r="B18" s="12">
        <f>AVERAGE(C2:C32)</f>
        <v/>
      </c>
      <c r="C18" s="13" t="inlineStr">
        <is>
          <t>Daily Avg Output</t>
        </is>
      </c>
      <c r="D18" s="14" t="inlineStr">
        <is>
          <t>Average daily production in month.</t>
        </is>
      </c>
      <c r="E18" s="14" t="inlineStr">
        <is>
          <t>Mahine mein roz ka average output.</t>
        </is>
      </c>
      <c r="F18" s="15" t="inlineStr">
        <is>
          <t>'AVERAGE'=Avg daily production.</t>
        </is>
      </c>
      <c r="G18" s="16" t="inlineStr">
        <is>
          <t>MNC: Benchmark setting — daily target.</t>
        </is>
      </c>
    </row>
    <row r="19" ht="52" customHeight="1">
      <c r="A19" s="5" t="inlineStr">
        <is>
          <t>15</t>
        </is>
      </c>
      <c r="B19" s="6">
        <f>LARGE(C2:C32,1)</f>
        <v/>
      </c>
      <c r="C19" s="7" t="inlineStr">
        <is>
          <t>Best Day Output</t>
        </is>
      </c>
      <c r="D19" s="8" t="inlineStr">
        <is>
          <t>Highest single-day production.</t>
        </is>
      </c>
      <c r="E19" s="8" t="inlineStr">
        <is>
          <t>Sabse zyada production wale din ki value.</t>
        </is>
      </c>
      <c r="F19" s="9" t="inlineStr">
        <is>
          <t>'LARGE'=Highest day output.</t>
        </is>
      </c>
      <c r="G19" s="10" t="inlineStr">
        <is>
          <t>MNC: Best shift/day benchmark.</t>
        </is>
      </c>
    </row>
    <row r="20" ht="52" customHeight="1">
      <c r="A20" s="11" t="inlineStr">
        <is>
          <t>16</t>
        </is>
      </c>
      <c r="B20" s="12">
        <f>SMALL(C2:C32,1)</f>
        <v/>
      </c>
      <c r="C20" s="13" t="inlineStr">
        <is>
          <t>Worst Day Output</t>
        </is>
      </c>
      <c r="D20" s="14" t="inlineStr">
        <is>
          <t>Lowest single-day production.</t>
        </is>
      </c>
      <c r="E20" s="14" t="inlineStr">
        <is>
          <t>Sabse kam production wala din.</t>
        </is>
      </c>
      <c r="F20" s="15" t="inlineStr">
        <is>
          <t>'SMALL'=Lowest day output.</t>
        </is>
      </c>
      <c r="G20" s="16" t="inlineStr">
        <is>
          <t>MNC: Identify worst performing shift.</t>
        </is>
      </c>
    </row>
    <row r="21" ht="52" customHeight="1">
      <c r="A21" s="5" t="inlineStr">
        <is>
          <t>17</t>
        </is>
      </c>
      <c r="B21" s="6">
        <f>COUNTIF(D2:D32,"Planned Shutdown")</f>
        <v/>
      </c>
      <c r="C21" s="7" t="inlineStr">
        <is>
          <t>Planned Stops</t>
        </is>
      </c>
      <c r="D21" s="8" t="inlineStr">
        <is>
          <t>Count of planned shutdown days.</t>
        </is>
      </c>
      <c r="E21" s="8" t="inlineStr">
        <is>
          <t>Planned shutdown kitne din the gino.</t>
        </is>
      </c>
      <c r="F21" s="9" t="inlineStr">
        <is>
          <t>'COUNTIF'=Planned shutdown days count.</t>
        </is>
      </c>
      <c r="G21" s="10" t="inlineStr">
        <is>
          <t>MNC: Availability factor — OEE input.</t>
        </is>
      </c>
    </row>
    <row r="22" ht="52" customHeight="1">
      <c r="A22" s="11" t="inlineStr">
        <is>
          <t>18</t>
        </is>
      </c>
      <c r="B22" s="12">
        <f>COUNTIF(D2:D32,"Breakdown")</f>
        <v/>
      </c>
      <c r="C22" s="13" t="inlineStr">
        <is>
          <t>Breakdown Stops</t>
        </is>
      </c>
      <c r="D22" s="14" t="inlineStr">
        <is>
          <t>Count of breakdown stoppages.</t>
        </is>
      </c>
      <c r="E22" s="14" t="inlineStr">
        <is>
          <t>Breakdown ki wajah se kitne din ruke.</t>
        </is>
      </c>
      <c r="F22" s="15" t="inlineStr">
        <is>
          <t>'COUNTIF'=Breakdown days gino.</t>
        </is>
      </c>
      <c r="G22" s="16" t="inlineStr">
        <is>
          <t>MNC: Monthly reliability tracking.</t>
        </is>
      </c>
    </row>
    <row r="23" ht="52" customHeight="1">
      <c r="A23" s="5" t="inlineStr">
        <is>
          <t>19</t>
        </is>
      </c>
      <c r="B23" s="6">
        <f>D2/E2</f>
        <v/>
      </c>
      <c r="C23" s="7" t="inlineStr">
        <is>
          <t>Yield Ratio</t>
        </is>
      </c>
      <c r="D23" s="8" t="inlineStr">
        <is>
          <t>Output units ÷ input material = yield.</t>
        </is>
      </c>
      <c r="E23" s="8" t="inlineStr">
        <is>
          <t>Input material se kitna output mila.</t>
        </is>
      </c>
      <c r="F23" s="9" t="inlineStr">
        <is>
          <t>Output/Input=Yield Ratio.</t>
        </is>
      </c>
      <c r="G23" s="10" t="inlineStr">
        <is>
          <t>MNC: Material yield tracking — waste reduction.</t>
        </is>
      </c>
    </row>
    <row r="24" ht="52" customHeight="1">
      <c r="A24" s="11" t="inlineStr">
        <is>
          <t>20</t>
        </is>
      </c>
      <c r="B24" s="12">
        <f>(1-D2/E2)*100</f>
        <v/>
      </c>
      <c r="C24" s="13" t="inlineStr">
        <is>
          <t>Waste %</t>
        </is>
      </c>
      <c r="D24" s="14" t="inlineStr">
        <is>
          <t>Percentage of input wasted.</t>
        </is>
      </c>
      <c r="E24" s="14" t="inlineStr">
        <is>
          <t>Input material ka kitna % waste hua.</t>
        </is>
      </c>
      <c r="F24" s="15" t="inlineStr">
        <is>
          <t>(1-Yield)×100=Waste %.</t>
        </is>
      </c>
      <c r="G24" s="16" t="inlineStr">
        <is>
          <t>MNC: Material efficiency KPI.</t>
        </is>
      </c>
    </row>
    <row r="25" ht="52" customHeight="1">
      <c r="A25" s="5" t="inlineStr">
        <is>
          <t>21</t>
        </is>
      </c>
      <c r="B25" s="6">
        <f>SUMPRODUCT((B2:B100="A Shift")*(C2:C100))</f>
        <v/>
      </c>
      <c r="C25" s="7" t="inlineStr">
        <is>
          <t>Shift-wise Total</t>
        </is>
      </c>
      <c r="D25" s="8" t="inlineStr">
        <is>
          <t>Total production of A Shift using SUMPRODUCT.</t>
        </is>
      </c>
      <c r="E25" s="8" t="inlineStr">
        <is>
          <t>A Shift ki total production — SUMPRODUCT se.</t>
        </is>
      </c>
      <c r="F25" s="9" t="inlineStr">
        <is>
          <t>SUMPRODUCT=Shift filter karke sum.</t>
        </is>
      </c>
      <c r="G25" s="10" t="inlineStr">
        <is>
          <t>MNC: Shift comparison — which shift best.</t>
        </is>
      </c>
    </row>
    <row r="26" ht="52" customHeight="1">
      <c r="A26" s="11" t="inlineStr">
        <is>
          <t>22</t>
        </is>
      </c>
      <c r="B26" s="12">
        <f>D2/E2*100</f>
        <v/>
      </c>
      <c r="C26" s="13" t="inlineStr">
        <is>
          <t>Capacity Util %</t>
        </is>
      </c>
      <c r="D26" s="14" t="inlineStr">
        <is>
          <t>Actual production ÷ plant capacity × 100.</t>
        </is>
      </c>
      <c r="E26" s="14" t="inlineStr">
        <is>
          <t>Plant capacity ka kitna % use hua.</t>
        </is>
      </c>
      <c r="F26" s="15" t="inlineStr">
        <is>
          <t>Actual/Capacity×100=Utilization %.</t>
        </is>
      </c>
      <c r="G26" s="16" t="inlineStr">
        <is>
          <t>MNC: Capacity planning — over/under.</t>
        </is>
      </c>
    </row>
    <row r="27" ht="52" customHeight="1">
      <c r="A27" s="5" t="inlineStr">
        <is>
          <t>23</t>
        </is>
      </c>
      <c r="B27" s="6">
        <f>IF(D2/E2*100&gt;100,"Overloaded",IF(D2/E2*100&lt;70,"Underutilized","Optimal"))</f>
        <v/>
      </c>
      <c r="C27" s="7" t="inlineStr">
        <is>
          <t>Capacity Status</t>
        </is>
      </c>
      <c r="D27" s="8" t="inlineStr">
        <is>
          <t>Capacity status label — Optimal/Over/Under.</t>
        </is>
      </c>
      <c r="E27" s="8" t="inlineStr">
        <is>
          <t>Capacity status automatically assign karo.</t>
        </is>
      </c>
      <c r="F27" s="9" t="inlineStr">
        <is>
          <t>IF=% se status — optimal range 70-100%.</t>
        </is>
      </c>
      <c r="G27" s="10" t="inlineStr">
        <is>
          <t>MNC: Resource planning dashboard.</t>
        </is>
      </c>
    </row>
    <row r="28" ht="52" customHeight="1">
      <c r="A28" s="11" t="inlineStr">
        <is>
          <t>24</t>
        </is>
      </c>
      <c r="B28" s="12">
        <f>D2*24</f>
        <v/>
      </c>
      <c r="C28" s="13" t="inlineStr">
        <is>
          <t>Hours in Days</t>
        </is>
      </c>
      <c r="D28" s="14" t="inlineStr">
        <is>
          <t>Converts days to hours for time tracking.</t>
        </is>
      </c>
      <c r="E28" s="14" t="inlineStr">
        <is>
          <t>Din ko ghante mein convert karo.</t>
        </is>
      </c>
      <c r="F28" s="15" t="inlineStr">
        <is>
          <t>Days×24=Hours.</t>
        </is>
      </c>
      <c r="G28" s="16" t="inlineStr">
        <is>
          <t>MNC: Downtime hours from days.</t>
        </is>
      </c>
    </row>
    <row r="29" ht="52" customHeight="1">
      <c r="A29" s="5" t="inlineStr">
        <is>
          <t>25</t>
        </is>
      </c>
      <c r="B29" s="6">
        <f>D2/24</f>
        <v/>
      </c>
      <c r="C29" s="7" t="inlineStr">
        <is>
          <t>Days in Hours</t>
        </is>
      </c>
      <c r="D29" s="8" t="inlineStr">
        <is>
          <t>Converts hours to days.</t>
        </is>
      </c>
      <c r="E29" s="8" t="inlineStr">
        <is>
          <t>Ghante ko din mein convert karo.</t>
        </is>
      </c>
      <c r="F29" s="9" t="inlineStr">
        <is>
          <t>Hours/24=Days.</t>
        </is>
      </c>
      <c r="G29" s="10" t="inlineStr">
        <is>
          <t>MNC: Reporting — hours to days.</t>
        </is>
      </c>
    </row>
    <row r="30" ht="26" customHeight="1">
      <c r="A30" s="17" t="inlineStr">
        <is>
          <t xml:space="preserve">  ►  2. QUALITY DEPARTMENT (QA/QC) — Gunvatta Vibhag</t>
        </is>
      </c>
    </row>
    <row r="31" ht="52" customHeight="1">
      <c r="A31" s="11" t="inlineStr">
        <is>
          <t>26</t>
        </is>
      </c>
      <c r="B31" s="12">
        <f>COUNTIF(C:C,"Rejected")/COUNTA(C:C)*100</f>
        <v/>
      </c>
      <c r="C31" s="13" t="inlineStr">
        <is>
          <t>Rejection Rate %</t>
        </is>
      </c>
      <c r="D31" s="14" t="inlineStr">
        <is>
          <t>% of parts rejected.</t>
        </is>
      </c>
      <c r="E31" s="14" t="inlineStr">
        <is>
          <t>Rejection % nikalo.</t>
        </is>
      </c>
      <c r="F31" s="18" t="inlineStr">
        <is>
          <t>Rejected/Total×100=Rejection %.</t>
        </is>
      </c>
      <c r="G31" s="16" t="inlineStr">
        <is>
          <t>MNC: Daily production rejection %.</t>
        </is>
      </c>
    </row>
    <row r="32" ht="52" customHeight="1">
      <c r="A32" s="19" t="inlineStr">
        <is>
          <t>27</t>
        </is>
      </c>
      <c r="B32" s="20">
        <f>COUNTIF(C:C,"Pass")/COUNTA(C:C)*100</f>
        <v/>
      </c>
      <c r="C32" s="21" t="inlineStr">
        <is>
          <t>FPY %</t>
        </is>
      </c>
      <c r="D32" s="22" t="inlineStr">
        <is>
          <t>First Pass Yield %.</t>
        </is>
      </c>
      <c r="E32" s="22" t="inlineStr">
        <is>
          <t>Pehli baar pass % nikalo — FPY.</t>
        </is>
      </c>
      <c r="F32" s="23" t="inlineStr">
        <is>
          <t>Pass/Total×100=FPY %.</t>
        </is>
      </c>
      <c r="G32" s="10" t="inlineStr">
        <is>
          <t>MNC: Quality efficiency KPI.</t>
        </is>
      </c>
    </row>
    <row r="33" ht="52" customHeight="1">
      <c r="A33" s="11" t="inlineStr">
        <is>
          <t>28</t>
        </is>
      </c>
      <c r="B33" s="12">
        <f>(COUNTIF(C:C,"Rejected")/COUNTA(C:C))*1000000</f>
        <v/>
      </c>
      <c r="C33" s="13" t="inlineStr">
        <is>
          <t>DPPM</t>
        </is>
      </c>
      <c r="D33" s="14" t="inlineStr">
        <is>
          <t>Defective Parts Per Million.</t>
        </is>
      </c>
      <c r="E33" s="14" t="inlineStr">
        <is>
          <t>DPPM = international quality KPI.</t>
        </is>
      </c>
      <c r="F33" s="18" t="inlineStr">
        <is>
          <t>(Rejected/Total)×10 lakh=DPPM.</t>
        </is>
      </c>
      <c r="G33" s="16" t="inlineStr">
        <is>
          <t>MNC: Customer quality report.</t>
        </is>
      </c>
    </row>
    <row r="34" ht="52" customHeight="1">
      <c r="A34" s="19" t="inlineStr">
        <is>
          <t>29</t>
        </is>
      </c>
      <c r="B34" s="20">
        <f>IF(AND(D2&gt;=E2,D2&lt;=F2),"ACCEPT","REJECT")</f>
        <v/>
      </c>
      <c r="C34" s="21" t="inlineStr">
        <is>
          <t>Accept/Reject</t>
        </is>
      </c>
      <c r="D34" s="22" t="inlineStr">
        <is>
          <t>Auto inspection decision.</t>
        </is>
      </c>
      <c r="E34" s="22" t="inlineStr">
        <is>
          <t>Tolerance se auto ACCEPT/REJECT.</t>
        </is>
      </c>
      <c r="F34" s="23" t="inlineStr">
        <is>
          <t>IF+AND=Tolerance check.</t>
        </is>
      </c>
      <c r="G34" s="10" t="inlineStr">
        <is>
          <t>MNC: Inspection auto-decision.</t>
        </is>
      </c>
    </row>
    <row r="35" ht="52" customHeight="1">
      <c r="A35" s="11" t="inlineStr">
        <is>
          <t>30</t>
        </is>
      </c>
      <c r="B35" s="12">
        <f>D2*E2*F2</f>
        <v/>
      </c>
      <c r="C35" s="13" t="inlineStr">
        <is>
          <t>RPN FMEA</t>
        </is>
      </c>
      <c r="D35" s="14" t="inlineStr">
        <is>
          <t>Severity × Occurrence × Detection.</t>
        </is>
      </c>
      <c r="E35" s="14" t="inlineStr">
        <is>
          <t>FMEA ke liye RPN nikalo.</t>
        </is>
      </c>
      <c r="F35" s="18" t="inlineStr">
        <is>
          <t>S×O×D=RPN — risk priority.</t>
        </is>
      </c>
      <c r="G35" s="16" t="inlineStr">
        <is>
          <t>MNC: FMEA risk score.</t>
        </is>
      </c>
    </row>
    <row r="36" ht="52" customHeight="1">
      <c r="A36" s="19" t="inlineStr">
        <is>
          <t>31</t>
        </is>
      </c>
      <c r="B36" s="20">
        <f>IF(D2&gt;=100,"High",IF(D2&gt;=50,"Medium","Low"))</f>
        <v/>
      </c>
      <c r="C36" s="21" t="inlineStr">
        <is>
          <t>Risk Level</t>
        </is>
      </c>
      <c r="D36" s="22" t="inlineStr">
        <is>
          <t>FMEA risk classification.</t>
        </is>
      </c>
      <c r="E36" s="22" t="inlineStr">
        <is>
          <t>RPN se risk level assign karo.</t>
        </is>
      </c>
      <c r="F36" s="23" t="inlineStr">
        <is>
          <t>IF Nested=RPN se level.</t>
        </is>
      </c>
      <c r="G36" s="10" t="inlineStr">
        <is>
          <t>MNC: FMEA action prioritization.</t>
        </is>
      </c>
    </row>
    <row r="37" ht="52" customHeight="1">
      <c r="A37" s="11" t="inlineStr">
        <is>
          <t>32</t>
        </is>
      </c>
      <c r="B37" s="12">
        <f>COUNTIFS(B:B,"Vendor-A",C:C,"Rejected")</f>
        <v/>
      </c>
      <c r="C37" s="13" t="inlineStr">
        <is>
          <t>Vendor Rejection</t>
        </is>
      </c>
      <c r="D37" s="14" t="inlineStr">
        <is>
          <t>Vendor-specific rejection count.</t>
        </is>
      </c>
      <c r="E37" s="14" t="inlineStr">
        <is>
          <t>Ek vendor ke rejected parts gino.</t>
        </is>
      </c>
      <c r="F37" s="18" t="inlineStr">
        <is>
          <t>'COUNTIFS'=Vendor+Rejected count.</t>
        </is>
      </c>
      <c r="G37" s="16" t="inlineStr">
        <is>
          <t>MNC: Vendor quality scorecard.</t>
        </is>
      </c>
    </row>
    <row r="38" ht="52" customHeight="1">
      <c r="A38" s="19" t="inlineStr">
        <is>
          <t>33</t>
        </is>
      </c>
      <c r="B38" s="20">
        <f>IF(D2&gt;=95,"A",IF(D2&gt;=85,"B",IF(D2&gt;=75,"C","D")))</f>
        <v/>
      </c>
      <c r="C38" s="21" t="inlineStr">
        <is>
          <t>Vendor Grade</t>
        </is>
      </c>
      <c r="D38" s="22" t="inlineStr">
        <is>
          <t>A/B/C/D vendor quality grade.</t>
        </is>
      </c>
      <c r="E38" s="22" t="inlineStr">
        <is>
          <t>Vendor score se grade assign karo.</t>
        </is>
      </c>
      <c r="F38" s="23" t="inlineStr">
        <is>
          <t>IF Nested=Score se grade.</t>
        </is>
      </c>
      <c r="G38" s="10" t="inlineStr">
        <is>
          <t>MNC: Vendor evaluation system.</t>
        </is>
      </c>
    </row>
    <row r="39" ht="52" customHeight="1">
      <c r="A39" s="11" t="inlineStr">
        <is>
          <t>34</t>
        </is>
      </c>
      <c r="B39" s="12">
        <f>IF(DATEDIF(B2,TODAY(),"D")&gt;7,"OVERDUE","Open")</f>
        <v/>
      </c>
      <c r="C39" s="13" t="inlineStr">
        <is>
          <t>NCR Overdue</t>
        </is>
      </c>
      <c r="D39" s="14" t="inlineStr">
        <is>
          <t>NCR open beyond 7 days flag.</t>
        </is>
      </c>
      <c r="E39" s="14" t="inlineStr">
        <is>
          <t>7 din se zyada khula NCR flag karo.</t>
        </is>
      </c>
      <c r="F39" s="18" t="inlineStr">
        <is>
          <t>IF+DATEDIF=7 day check.</t>
        </is>
      </c>
      <c r="G39" s="16" t="inlineStr">
        <is>
          <t>MNC: NCR closure monitoring.</t>
        </is>
      </c>
    </row>
    <row r="40" ht="52" customHeight="1">
      <c r="A40" s="19" t="inlineStr">
        <is>
          <t>35</t>
        </is>
      </c>
      <c r="B40" s="20">
        <f>STDEV(D2:D100)/AVERAGE(D2:D100)*100</f>
        <v/>
      </c>
      <c r="C40" s="21" t="inlineStr">
        <is>
          <t>COV %</t>
        </is>
      </c>
      <c r="D40" s="22" t="inlineStr">
        <is>
          <t>Coefficient of Variation — process consistency.</t>
        </is>
      </c>
      <c r="E40" s="22" t="inlineStr">
        <is>
          <t>Process variation % nikalo.</t>
        </is>
      </c>
      <c r="F40" s="23" t="inlineStr">
        <is>
          <t>StdDev/Avg×100=COV %.</t>
        </is>
      </c>
      <c r="G40" s="10" t="inlineStr">
        <is>
          <t>MNC: SPC process consistency.</t>
        </is>
      </c>
    </row>
    <row r="41" ht="52" customHeight="1">
      <c r="A41" s="11" t="inlineStr">
        <is>
          <t>36</t>
        </is>
      </c>
      <c r="B41" s="12">
        <f>DATEDIF(B2,C2,"D")</f>
        <v/>
      </c>
      <c r="C41" s="13" t="inlineStr">
        <is>
          <t>CAPA Days</t>
        </is>
      </c>
      <c r="D41" s="14" t="inlineStr">
        <is>
          <t>Days taken to close a CAPA.</t>
        </is>
      </c>
      <c r="E41" s="14" t="inlineStr">
        <is>
          <t>CAPA close hone mein kitne din lage.</t>
        </is>
      </c>
      <c r="F41" s="18" t="inlineStr">
        <is>
          <t>'DATEDIF'=Open to close days.</t>
        </is>
      </c>
      <c r="G41" s="16" t="inlineStr">
        <is>
          <t>MNC: CAPA closure TAT tracking.</t>
        </is>
      </c>
    </row>
    <row r="42" ht="52" customHeight="1">
      <c r="A42" s="19" t="inlineStr">
        <is>
          <t>37</t>
        </is>
      </c>
      <c r="B42" s="20">
        <f>COUNTIF(D:D,"Customer Complaint")</f>
        <v/>
      </c>
      <c r="C42" s="21" t="inlineStr">
        <is>
          <t>Complaints</t>
        </is>
      </c>
      <c r="D42" s="22" t="inlineStr">
        <is>
          <t>Total customer complaints.</t>
        </is>
      </c>
      <c r="E42" s="22" t="inlineStr">
        <is>
          <t>Customer complaints gino.</t>
        </is>
      </c>
      <c r="F42" s="23" t="inlineStr">
        <is>
          <t>'COUNTIF'=Complaints count.</t>
        </is>
      </c>
      <c r="G42" s="10" t="inlineStr">
        <is>
          <t>MNC: Monthly complaint tracking.</t>
        </is>
      </c>
    </row>
    <row r="43" ht="52" customHeight="1">
      <c r="A43" s="11" t="inlineStr">
        <is>
          <t>38</t>
        </is>
      </c>
      <c r="B43" s="12">
        <f>AVERAGEIF(B:B,"Incoming",D:D)</f>
        <v/>
      </c>
      <c r="C43" s="13" t="inlineStr">
        <is>
          <t>Incoming Avg</t>
        </is>
      </c>
      <c r="D43" s="14" t="inlineStr">
        <is>
          <t>Average incoming inspection score.</t>
        </is>
      </c>
      <c r="E43" s="14" t="inlineStr">
        <is>
          <t>Incoming inspection average score.</t>
        </is>
      </c>
      <c r="F43" s="18" t="inlineStr">
        <is>
          <t>'AVERAGEIF'=Incoming ka average.</t>
        </is>
      </c>
      <c r="G43" s="16" t="inlineStr">
        <is>
          <t>MNC: Vendor incoming quality avg.</t>
        </is>
      </c>
    </row>
    <row r="44" ht="52" customHeight="1">
      <c r="A44" s="19" t="inlineStr">
        <is>
          <t>39</t>
        </is>
      </c>
      <c r="B44" s="20">
        <f>D2/E2*100</f>
        <v/>
      </c>
      <c r="C44" s="21" t="inlineStr">
        <is>
          <t>Inspection Eff %</t>
        </is>
      </c>
      <c r="D44" s="22" t="inlineStr">
        <is>
          <t>Parts inspected vs target.</t>
        </is>
      </c>
      <c r="E44" s="22" t="inlineStr">
        <is>
          <t>Inspection efficiency % nikalo.</t>
        </is>
      </c>
      <c r="F44" s="23" t="inlineStr">
        <is>
          <t>Actual/Target×100=Efficiency.</t>
        </is>
      </c>
      <c r="G44" s="10" t="inlineStr">
        <is>
          <t>MNC: QC inspector daily efficiency.</t>
        </is>
      </c>
    </row>
    <row r="45" ht="52" customHeight="1">
      <c r="A45" s="11" t="inlineStr">
        <is>
          <t>40</t>
        </is>
      </c>
      <c r="B45" s="12">
        <f>COUNTIF(C:C,"Rework")</f>
        <v/>
      </c>
      <c r="C45" s="13" t="inlineStr">
        <is>
          <t>Rework Count</t>
        </is>
      </c>
      <c r="D45" s="14" t="inlineStr">
        <is>
          <t>Total rework items in period.</t>
        </is>
      </c>
      <c r="E45" s="14" t="inlineStr">
        <is>
          <t>Kitne items rework mein gaye gino.</t>
        </is>
      </c>
      <c r="F45" s="18" t="inlineStr">
        <is>
          <t>'COUNTIF'=Rework entries gino.</t>
        </is>
      </c>
      <c r="G45" s="16" t="inlineStr">
        <is>
          <t>MNC: Rework cost analysis.</t>
        </is>
      </c>
    </row>
    <row r="46" ht="52" customHeight="1">
      <c r="A46" s="19" t="inlineStr">
        <is>
          <t>41</t>
        </is>
      </c>
      <c r="B46" s="20">
        <f>D2*E2</f>
        <v/>
      </c>
      <c r="C46" s="21" t="inlineStr">
        <is>
          <t>Rework Cost ₹</t>
        </is>
      </c>
      <c r="D46" s="22" t="inlineStr">
        <is>
          <t>Rework units × rework cost.</t>
        </is>
      </c>
      <c r="E46" s="22" t="inlineStr">
        <is>
          <t>Rework items × cost = rework expense.</t>
        </is>
      </c>
      <c r="F46" s="23" t="inlineStr">
        <is>
          <t>Rework Units×Rate=Cost ₹.</t>
        </is>
      </c>
      <c r="G46" s="10" t="inlineStr">
        <is>
          <t>MNC: Cost of poor quality (COPQ).</t>
        </is>
      </c>
    </row>
    <row r="47" ht="52" customHeight="1">
      <c r="A47" s="11" t="inlineStr">
        <is>
          <t>42</t>
        </is>
      </c>
      <c r="B47" s="12">
        <f>D2+E2+F2</f>
        <v/>
      </c>
      <c r="C47" s="13" t="inlineStr">
        <is>
          <t>COPQ Total</t>
        </is>
      </c>
      <c r="D47" s="14" t="inlineStr">
        <is>
          <t>Cost of poor quality = Scrap+Rework+Warranty.</t>
        </is>
      </c>
      <c r="E47" s="14" t="inlineStr">
        <is>
          <t>Scrap + Rework + Warranty = COPQ total.</t>
        </is>
      </c>
      <c r="F47" s="18" t="inlineStr">
        <is>
          <t>Scrap+Rework+Warranty=COPQ.</t>
        </is>
      </c>
      <c r="G47" s="16" t="inlineStr">
        <is>
          <t>MNC: Total cost of poor quality.</t>
        </is>
      </c>
    </row>
    <row r="48" ht="52" customHeight="1">
      <c r="A48" s="19" t="inlineStr">
        <is>
          <t>43</t>
        </is>
      </c>
      <c r="B48" s="20">
        <f>D2/E2*100</f>
        <v/>
      </c>
      <c r="C48" s="21" t="inlineStr">
        <is>
          <t>Audit Score %</t>
        </is>
      </c>
      <c r="D48" s="22" t="inlineStr">
        <is>
          <t>Quality audit score percentage.</t>
        </is>
      </c>
      <c r="E48" s="22" t="inlineStr">
        <is>
          <t>Audit score % nikalo.</t>
        </is>
      </c>
      <c r="F48" s="23" t="inlineStr">
        <is>
          <t>Score/Total×100=Audit %.</t>
        </is>
      </c>
      <c r="G48" s="10" t="inlineStr">
        <is>
          <t>MNC: Internal/external audit score.</t>
        </is>
      </c>
    </row>
    <row r="49" ht="52" customHeight="1">
      <c r="A49" s="11" t="inlineStr">
        <is>
          <t>44</t>
        </is>
      </c>
      <c r="B49" s="12">
        <f>IF(D2/E2*100&gt;=85,"PASS","FAIL")</f>
        <v/>
      </c>
      <c r="C49" s="13" t="inlineStr">
        <is>
          <t>Audit Result</t>
        </is>
      </c>
      <c r="D49" s="14" t="inlineStr">
        <is>
          <t>Audit pass/fail at 85% threshold.</t>
        </is>
      </c>
      <c r="E49" s="14" t="inlineStr">
        <is>
          <t>85% se zyada toh PASS warna FAIL.</t>
        </is>
      </c>
      <c r="F49" s="18" t="inlineStr">
        <is>
          <t>IF=85% threshold audit result.</t>
        </is>
      </c>
      <c r="G49" s="16" t="inlineStr">
        <is>
          <t>MNC: ISO audit pass/fail decision.</t>
        </is>
      </c>
    </row>
    <row r="50" ht="52" customHeight="1">
      <c r="A50" s="19" t="inlineStr">
        <is>
          <t>45</t>
        </is>
      </c>
      <c r="B50" s="20">
        <f>SUMIF(B:B,"Dimensional",D:D)</f>
        <v/>
      </c>
      <c r="C50" s="21" t="inlineStr">
        <is>
          <t>Defect Type Total</t>
        </is>
      </c>
      <c r="D50" s="22" t="inlineStr">
        <is>
          <t>Sum of specific defect type.</t>
        </is>
      </c>
      <c r="E50" s="22" t="inlineStr">
        <is>
          <t>Ek defect type ka total count.</t>
        </is>
      </c>
      <c r="F50" s="23" t="inlineStr">
        <is>
          <t>'SUMIF'=Defect type filter sum.</t>
        </is>
      </c>
      <c r="G50" s="10" t="inlineStr">
        <is>
          <t>MNC: Pareto analysis defect-wise.</t>
        </is>
      </c>
    </row>
    <row r="51" ht="52" customHeight="1">
      <c r="A51" s="11" t="inlineStr">
        <is>
          <t>46</t>
        </is>
      </c>
      <c r="B51" s="12">
        <f>COUNTIFS(B:B,"Line-2",C:C,"Critical")</f>
        <v/>
      </c>
      <c r="C51" s="13" t="inlineStr">
        <is>
          <t>Critical Defects</t>
        </is>
      </c>
      <c r="D51" s="14" t="inlineStr">
        <is>
          <t>Critical defects on specific line.</t>
        </is>
      </c>
      <c r="E51" s="14" t="inlineStr">
        <is>
          <t>Ek line ke critical defects gino.</t>
        </is>
      </c>
      <c r="F51" s="18" t="inlineStr">
        <is>
          <t>'COUNTIFS'=Line+Critical count.</t>
        </is>
      </c>
      <c r="G51" s="16" t="inlineStr">
        <is>
          <t>MNC: Critical defect monitoring.</t>
        </is>
      </c>
    </row>
    <row r="52" ht="52" customHeight="1">
      <c r="A52" s="19" t="inlineStr">
        <is>
          <t>47</t>
        </is>
      </c>
      <c r="B52" s="20">
        <f>D2/E2</f>
        <v/>
      </c>
      <c r="C52" s="21" t="inlineStr">
        <is>
          <t>Process Capability Cp</t>
        </is>
      </c>
      <c r="D52" s="22" t="inlineStr">
        <is>
          <t>USL-LSL divided by 6×StdDev = Cp.</t>
        </is>
      </c>
      <c r="E52" s="22" t="inlineStr">
        <is>
          <t>Process capability nikalo — Cp.</t>
        </is>
      </c>
      <c r="F52" s="23" t="inlineStr">
        <is>
          <t>(USL-LSL)/(6×Sigma)=Cp.</t>
        </is>
      </c>
      <c r="G52" s="10" t="inlineStr">
        <is>
          <t>MNC: SPC — process capability index.</t>
        </is>
      </c>
    </row>
    <row r="53" ht="52" customHeight="1">
      <c r="A53" s="11" t="inlineStr">
        <is>
          <t>48</t>
        </is>
      </c>
      <c r="B53" s="12">
        <f>IF(D2&gt;=1.33,"Capable",IF(D2&gt;=1.0,"Marginal","Not Capable"))</f>
        <v/>
      </c>
      <c r="C53" s="13" t="inlineStr">
        <is>
          <t>Cp Status</t>
        </is>
      </c>
      <c r="D53" s="14" t="inlineStr">
        <is>
          <t>Process capability status.</t>
        </is>
      </c>
      <c r="E53" s="14" t="inlineStr">
        <is>
          <t>Cp value se process status label.</t>
        </is>
      </c>
      <c r="F53" s="18" t="inlineStr">
        <is>
          <t>IF=Cp se Capable/Marginal/Not.</t>
        </is>
      </c>
      <c r="G53" s="16" t="inlineStr">
        <is>
          <t>MNC: SPC dashboard capability status.</t>
        </is>
      </c>
    </row>
    <row r="54" ht="52" customHeight="1">
      <c r="A54" s="19" t="inlineStr">
        <is>
          <t>49</t>
        </is>
      </c>
      <c r="B54" s="20">
        <f>MEDIAN(D2:D100)</f>
        <v/>
      </c>
      <c r="C54" s="21" t="inlineStr">
        <is>
          <t>Median Value</t>
        </is>
      </c>
      <c r="D54" s="22" t="inlineStr">
        <is>
          <t>Median of quality measurements.</t>
        </is>
      </c>
      <c r="E54" s="22" t="inlineStr">
        <is>
          <t>Data ka beech wala value nikalo.</t>
        </is>
      </c>
      <c r="F54" s="23" t="inlineStr">
        <is>
          <t>'MEDIAN'=Middle value (not affected by outliers).</t>
        </is>
      </c>
      <c r="G54" s="10" t="inlineStr">
        <is>
          <t>MNC: Quality data central tendency.</t>
        </is>
      </c>
    </row>
    <row r="55" ht="52" customHeight="1">
      <c r="A55" s="11" t="inlineStr">
        <is>
          <t>50</t>
        </is>
      </c>
      <c r="B55" s="12">
        <f>PERCENTILE(D2:D100,0.99)</f>
        <v/>
      </c>
      <c r="C55" s="13" t="inlineStr">
        <is>
          <t>99th Percentile</t>
        </is>
      </c>
      <c r="D55" s="14" t="inlineStr">
        <is>
          <t>Top 1% measurement value.</t>
        </is>
      </c>
      <c r="E55" s="14" t="inlineStr">
        <is>
          <t>Data ka 99th percentile nikalo.</t>
        </is>
      </c>
      <c r="F55" s="18" t="inlineStr">
        <is>
          <t>'PERCENTILE'=99% data ke neeche.</t>
        </is>
      </c>
      <c r="G55" s="16" t="inlineStr">
        <is>
          <t>MNC: Extreme value analysis.</t>
        </is>
      </c>
    </row>
    <row r="56" ht="26" customHeight="1">
      <c r="A56" s="24" t="inlineStr">
        <is>
          <t xml:space="preserve">  ►  3. UTILITY DEPARTMENT — Upyogita Vibhag</t>
        </is>
      </c>
    </row>
    <row r="57" ht="52" customHeight="1">
      <c r="A57" s="25" t="inlineStr">
        <is>
          <t>51</t>
        </is>
      </c>
      <c r="B57" s="26">
        <f>D2-C2</f>
        <v/>
      </c>
      <c r="C57" s="27" t="inlineStr">
        <is>
          <t>Consumption</t>
        </is>
      </c>
      <c r="D57" s="28" t="inlineStr">
        <is>
          <t>Closing - Opening reading.</t>
        </is>
      </c>
      <c r="E57" s="28" t="inlineStr">
        <is>
          <t>Meter reading se consumption nikalo.</t>
        </is>
      </c>
      <c r="F57" s="29" t="inlineStr">
        <is>
          <t>Closing-Opening=Consumption.</t>
        </is>
      </c>
      <c r="G57" s="10" t="inlineStr">
        <is>
          <t>MNC: Daily electricity/water consumption.</t>
        </is>
      </c>
    </row>
    <row r="58" ht="52" customHeight="1">
      <c r="A58" s="11" t="inlineStr">
        <is>
          <t>52</t>
        </is>
      </c>
      <c r="B58" s="12">
        <f>(D2-C2)*E2</f>
        <v/>
      </c>
      <c r="C58" s="13" t="inlineStr">
        <is>
          <t>Utility Cost ₹</t>
        </is>
      </c>
      <c r="D58" s="14" t="inlineStr">
        <is>
          <t>Units × rate = cost.</t>
        </is>
      </c>
      <c r="E58" s="14" t="inlineStr">
        <is>
          <t>Units × rate = rupay mein cost.</t>
        </is>
      </c>
      <c r="F58" s="30" t="inlineStr">
        <is>
          <t>Units×Rate=₹ Cost.</t>
        </is>
      </c>
      <c r="G58" s="16" t="inlineStr">
        <is>
          <t>MNC: Monthly utility bill calculate.</t>
        </is>
      </c>
    </row>
    <row r="59" ht="52" customHeight="1">
      <c r="A59" s="25" t="inlineStr">
        <is>
          <t>53</t>
        </is>
      </c>
      <c r="B59" s="26">
        <f>D2/E2</f>
        <v/>
      </c>
      <c r="C59" s="27" t="inlineStr">
        <is>
          <t>SEC kWh/unit</t>
        </is>
      </c>
      <c r="D59" s="28" t="inlineStr">
        <is>
          <t>Specific Energy Consumption.</t>
        </is>
      </c>
      <c r="E59" s="28" t="inlineStr">
        <is>
          <t>Ek unit production pe energy — SEC.</t>
        </is>
      </c>
      <c r="F59" s="29" t="inlineStr">
        <is>
          <t>Energy/Production=SEC.</t>
        </is>
      </c>
      <c r="G59" s="10" t="inlineStr">
        <is>
          <t>MNC: BEE energy KPI reporting.</t>
        </is>
      </c>
    </row>
    <row r="60" ht="52" customHeight="1">
      <c r="A60" s="11" t="inlineStr">
        <is>
          <t>54</t>
        </is>
      </c>
      <c r="B60" s="12">
        <f>(E2-F2-G2)/E2*100</f>
        <v/>
      </c>
      <c r="C60" s="13" t="inlineStr">
        <is>
          <t>OEE %</t>
        </is>
      </c>
      <c r="D60" s="14" t="inlineStr">
        <is>
          <t>Overall Equipment Effectiveness.</t>
        </is>
      </c>
      <c r="E60" s="14" t="inlineStr">
        <is>
          <t>Utility equipment OEE %.</t>
        </is>
      </c>
      <c r="F60" s="30" t="inlineStr">
        <is>
          <t>OEE=(Avail-DT-Loss)/Total×100.</t>
        </is>
      </c>
      <c r="G60" s="16" t="inlineStr">
        <is>
          <t>MNC: Compressor/boiler OEE.</t>
        </is>
      </c>
    </row>
    <row r="61" ht="52" customHeight="1">
      <c r="A61" s="25" t="inlineStr">
        <is>
          <t>55</t>
        </is>
      </c>
      <c r="B61" s="26">
        <f>AVERAGE(D2:D32)</f>
        <v/>
      </c>
      <c r="C61" s="27" t="inlineStr">
        <is>
          <t>Avg Daily</t>
        </is>
      </c>
      <c r="D61" s="28" t="inlineStr">
        <is>
          <t>Average daily consumption.</t>
        </is>
      </c>
      <c r="E61" s="28" t="inlineStr">
        <is>
          <t>Roz ka average consumption nikalo.</t>
        </is>
      </c>
      <c r="F61" s="29" t="inlineStr">
        <is>
          <t>'AVERAGE'=Daily avg consumption.</t>
        </is>
      </c>
      <c r="G61" s="10" t="inlineStr">
        <is>
          <t>MNC: Peak vs average trend.</t>
        </is>
      </c>
    </row>
    <row r="62" ht="52" customHeight="1">
      <c r="A62" s="11" t="inlineStr">
        <is>
          <t>56</t>
        </is>
      </c>
      <c r="B62" s="12">
        <f>D2*0.82</f>
        <v/>
      </c>
      <c r="C62" s="13" t="inlineStr">
        <is>
          <t>kVA to kW</t>
        </is>
      </c>
      <c r="D62" s="14" t="inlineStr">
        <is>
          <t>kVA × 0.82 = real kW power.</t>
        </is>
      </c>
      <c r="E62" s="14" t="inlineStr">
        <is>
          <t>kVA se kW convert karo — PF=0.82.</t>
        </is>
      </c>
      <c r="F62" s="30" t="inlineStr">
        <is>
          <t>kVA×PF=kW.</t>
        </is>
      </c>
      <c r="G62" s="16" t="inlineStr">
        <is>
          <t>MNC: Transformer loading.</t>
        </is>
      </c>
    </row>
    <row r="63" ht="52" customHeight="1">
      <c r="A63" s="25" t="inlineStr">
        <is>
          <t>57</t>
        </is>
      </c>
      <c r="B63" s="26">
        <f>D2/E2*100</f>
        <v/>
      </c>
      <c r="C63" s="27" t="inlineStr">
        <is>
          <t>Load Factor %</t>
        </is>
      </c>
      <c r="D63" s="28" t="inlineStr">
        <is>
          <t>Actual load ÷ installed capacity × 100.</t>
        </is>
      </c>
      <c r="E63" s="28" t="inlineStr">
        <is>
          <t>Installed capacity ka % load nikalo.</t>
        </is>
      </c>
      <c r="F63" s="29" t="inlineStr">
        <is>
          <t>Actual/Capacity×100=Load %.</t>
        </is>
      </c>
      <c r="G63" s="10" t="inlineStr">
        <is>
          <t>MNC: DG/transformer overload check.</t>
        </is>
      </c>
    </row>
    <row r="64" ht="52" customHeight="1">
      <c r="A64" s="11" t="inlineStr">
        <is>
          <t>58</t>
        </is>
      </c>
      <c r="B64" s="12">
        <f>AVERAGE(D2:D100)</f>
        <v/>
      </c>
      <c r="C64" s="13" t="inlineStr">
        <is>
          <t>MTTR hrs</t>
        </is>
      </c>
      <c r="D64" s="14" t="inlineStr">
        <is>
          <t>Average repair time for equipment.</t>
        </is>
      </c>
      <c r="E64" s="14" t="inlineStr">
        <is>
          <t>Average breakdown repair time — MTTR.</t>
        </is>
      </c>
      <c r="F64" s="30" t="inlineStr">
        <is>
          <t>'AVERAGE'=Mean repair time.</t>
        </is>
      </c>
      <c r="G64" s="16" t="inlineStr">
        <is>
          <t>MNC: Maintenance response time KPI.</t>
        </is>
      </c>
    </row>
    <row r="65" ht="52" customHeight="1">
      <c r="A65" s="25" t="inlineStr">
        <is>
          <t>59</t>
        </is>
      </c>
      <c r="B65" s="26">
        <f>E2/COUNTIF(C:C,"Breakdown")</f>
        <v/>
      </c>
      <c r="C65" s="27" t="inlineStr">
        <is>
          <t>MTBF hrs</t>
        </is>
      </c>
      <c r="D65" s="28" t="inlineStr">
        <is>
          <t>Mean Time Between Failures.</t>
        </is>
      </c>
      <c r="E65" s="28" t="inlineStr">
        <is>
          <t>Do breakdown ke beech running time.</t>
        </is>
      </c>
      <c r="F65" s="29" t="inlineStr">
        <is>
          <t>Hours/Breakdowns=MTBF.</t>
        </is>
      </c>
      <c r="G65" s="10" t="inlineStr">
        <is>
          <t>MNC: Equipment reliability score.</t>
        </is>
      </c>
    </row>
    <row r="66" ht="52" customHeight="1">
      <c r="A66" s="11" t="inlineStr">
        <is>
          <t>60</t>
        </is>
      </c>
      <c r="B66" s="12">
        <f>COUNTIF(C:C,"Planned")/COUNTA(C:C)*100</f>
        <v/>
      </c>
      <c r="C66" s="13" t="inlineStr">
        <is>
          <t>PM Compliance %</t>
        </is>
      </c>
      <c r="D66" s="14" t="inlineStr">
        <is>
          <t>Preventive maintenance compliance.</t>
        </is>
      </c>
      <c r="E66" s="14" t="inlineStr">
        <is>
          <t>PM kitna % complete hua.</t>
        </is>
      </c>
      <c r="F66" s="30" t="inlineStr">
        <is>
          <t>Done/Total×100=PM %.</t>
        </is>
      </c>
      <c r="G66" s="16" t="inlineStr">
        <is>
          <t>MNC: TPM/ISO PM compliance.</t>
        </is>
      </c>
    </row>
    <row r="67" ht="52" customHeight="1">
      <c r="A67" s="25" t="inlineStr">
        <is>
          <t>61</t>
        </is>
      </c>
      <c r="B67" s="26">
        <f>D2/E2*1000</f>
        <v/>
      </c>
      <c r="C67" s="27" t="inlineStr">
        <is>
          <t>Specific Water KL/T</t>
        </is>
      </c>
      <c r="D67" s="28" t="inlineStr">
        <is>
          <t>Water per ton of production.</t>
        </is>
      </c>
      <c r="E67" s="28" t="inlineStr">
        <is>
          <t>Per ton production paani ka use.</t>
        </is>
      </c>
      <c r="F67" s="29" t="inlineStr">
        <is>
          <t>Water/Production×1000=KL/Ton.</t>
        </is>
      </c>
      <c r="G67" s="10" t="inlineStr">
        <is>
          <t>MNC: Water KPI — ZLD target.</t>
        </is>
      </c>
    </row>
    <row r="68" ht="52" customHeight="1">
      <c r="A68" s="11" t="inlineStr">
        <is>
          <t>62</t>
        </is>
      </c>
      <c r="B68" s="12">
        <f>D2-E2</f>
        <v/>
      </c>
      <c r="C68" s="13" t="inlineStr">
        <is>
          <t>Water Balance</t>
        </is>
      </c>
      <c r="D68" s="14" t="inlineStr">
        <is>
          <t>Inlet minus outlet = leakage.</t>
        </is>
      </c>
      <c r="E68" s="14" t="inlineStr">
        <is>
          <t>Paani ka balance — leakage detect.</t>
        </is>
      </c>
      <c r="F68" s="30" t="inlineStr">
        <is>
          <t>Inlet-Outlet=Balance/Leakage.</t>
        </is>
      </c>
      <c r="G68" s="16" t="inlineStr">
        <is>
          <t>MNC: Water audit — ZLD.</t>
        </is>
      </c>
    </row>
    <row r="69" ht="52" customHeight="1">
      <c r="A69" s="25" t="inlineStr">
        <is>
          <t>63</t>
        </is>
      </c>
      <c r="B69" s="26">
        <f>(D2-E2)/E2*100</f>
        <v/>
      </c>
      <c r="C69" s="27" t="inlineStr">
        <is>
          <t>Consumption Var %</t>
        </is>
      </c>
      <c r="D69" s="28" t="inlineStr">
        <is>
          <t>Variance from target consumption.</t>
        </is>
      </c>
      <c r="E69" s="28" t="inlineStr">
        <is>
          <t>Target se actual consumption variance.</t>
        </is>
      </c>
      <c r="F69" s="29" t="inlineStr">
        <is>
          <t>(Actual-Target)/Target×100=Var %.</t>
        </is>
      </c>
      <c r="G69" s="10" t="inlineStr">
        <is>
          <t>MNC: Energy budget variance.</t>
        </is>
      </c>
    </row>
    <row r="70" ht="52" customHeight="1">
      <c r="A70" s="11" t="inlineStr">
        <is>
          <t>64</t>
        </is>
      </c>
      <c r="B70" s="12">
        <f>SUM(D2:D12)</f>
        <v/>
      </c>
      <c r="C70" s="13" t="inlineStr">
        <is>
          <t>Annual Units</t>
        </is>
      </c>
      <c r="D70" s="14" t="inlineStr">
        <is>
          <t>Total annual utility consumption.</t>
        </is>
      </c>
      <c r="E70" s="14" t="inlineStr">
        <is>
          <t>Saal bhar ki total consumption.</t>
        </is>
      </c>
      <c r="F70" s="30" t="inlineStr">
        <is>
          <t>'SUM'=Annual total units.</t>
        </is>
      </c>
      <c r="G70" s="16" t="inlineStr">
        <is>
          <t>MNC: Annual energy report.</t>
        </is>
      </c>
    </row>
    <row r="71" ht="52" customHeight="1">
      <c r="A71" s="25" t="inlineStr">
        <is>
          <t>65</t>
        </is>
      </c>
      <c r="B71" s="26">
        <f>D2*E2</f>
        <v/>
      </c>
      <c r="C71" s="27" t="inlineStr">
        <is>
          <t>Steam Cost ₹</t>
        </is>
      </c>
      <c r="D71" s="28" t="inlineStr">
        <is>
          <t>Steam units × rate = steam cost.</t>
        </is>
      </c>
      <c r="E71" s="28" t="inlineStr">
        <is>
          <t>Steam units × rate = cost nikalo.</t>
        </is>
      </c>
      <c r="F71" s="29" t="inlineStr">
        <is>
          <t>Units×Rate=Steam Cost ₹.</t>
        </is>
      </c>
      <c r="G71" s="10" t="inlineStr">
        <is>
          <t>MNC: Boiler steam cost monthly.</t>
        </is>
      </c>
    </row>
    <row r="72" ht="52" customHeight="1">
      <c r="A72" s="11" t="inlineStr">
        <is>
          <t>66</t>
        </is>
      </c>
      <c r="B72" s="12">
        <f>SUMIF(B:B,"Compressed Air",D:D)</f>
        <v/>
      </c>
      <c r="C72" s="13" t="inlineStr">
        <is>
          <t>CA Consumption</t>
        </is>
      </c>
      <c r="D72" s="14" t="inlineStr">
        <is>
          <t>Total compressed air consumption.</t>
        </is>
      </c>
      <c r="E72" s="14" t="inlineStr">
        <is>
          <t>Compressed air ka total use nikalo.</t>
        </is>
      </c>
      <c r="F72" s="30" t="inlineStr">
        <is>
          <t>'SUMIF'=CA type filter sum.</t>
        </is>
      </c>
      <c r="G72" s="16" t="inlineStr">
        <is>
          <t>MNC: Compressed air energy audit.</t>
        </is>
      </c>
    </row>
    <row r="73" ht="52" customHeight="1">
      <c r="A73" s="25" t="inlineStr">
        <is>
          <t>67</t>
        </is>
      </c>
      <c r="B73" s="26">
        <f>D2/(D2+E2)*100</f>
        <v/>
      </c>
      <c r="C73" s="27" t="inlineStr">
        <is>
          <t>PM vs Reactive %</t>
        </is>
      </c>
      <c r="D73" s="28" t="inlineStr">
        <is>
          <t>Planned vs reactive maintenance ratio.</t>
        </is>
      </c>
      <c r="E73" s="28" t="inlineStr">
        <is>
          <t>Planned maintenance ka % ratio.</t>
        </is>
      </c>
      <c r="F73" s="29" t="inlineStr">
        <is>
          <t>Planned/(Planned+Reactive)×100.</t>
        </is>
      </c>
      <c r="G73" s="10" t="inlineStr">
        <is>
          <t>MNC: TPM proactive ratio.</t>
        </is>
      </c>
    </row>
    <row r="74" ht="52" customHeight="1">
      <c r="A74" s="11" t="inlineStr">
        <is>
          <t>68</t>
        </is>
      </c>
      <c r="B74" s="12">
        <f>D2*E2*F2/1000</f>
        <v/>
      </c>
      <c r="C74" s="13" t="inlineStr">
        <is>
          <t>Solar Generation kWh</t>
        </is>
      </c>
      <c r="D74" s="14" t="inlineStr">
        <is>
          <t>Panel area × irradiation × efficiency.</t>
        </is>
      </c>
      <c r="E74" s="14" t="inlineStr">
        <is>
          <t>Solar panels se kitni energy bani.</t>
        </is>
      </c>
      <c r="F74" s="30" t="inlineStr">
        <is>
          <t>Area×Irrad×Eff/1000=kWh.</t>
        </is>
      </c>
      <c r="G74" s="16" t="inlineStr">
        <is>
          <t>MNC: Renewable energy generation.</t>
        </is>
      </c>
    </row>
    <row r="75" ht="52" customHeight="1">
      <c r="A75" s="25" t="inlineStr">
        <is>
          <t>69</t>
        </is>
      </c>
      <c r="B75" s="26">
        <f>D2/E2*100</f>
        <v/>
      </c>
      <c r="C75" s="27" t="inlineStr">
        <is>
          <t>Solar % Contribution</t>
        </is>
      </c>
      <c r="D75" s="28" t="inlineStr">
        <is>
          <t>Solar energy as % of total consumption.</t>
        </is>
      </c>
      <c r="E75" s="28" t="inlineStr">
        <is>
          <t>Total consumption mein solar ka %.</t>
        </is>
      </c>
      <c r="F75" s="29" t="inlineStr">
        <is>
          <t>Solar/Total×100=Solar %.</t>
        </is>
      </c>
      <c r="G75" s="10" t="inlineStr">
        <is>
          <t>MNC: Green energy contribution KPI.</t>
        </is>
      </c>
    </row>
    <row r="76" ht="52" customHeight="1">
      <c r="A76" s="11" t="inlineStr">
        <is>
          <t>70</t>
        </is>
      </c>
      <c r="B76" s="12">
        <f>IF(D2&lt;E2,"Energy Efficient","Review Required")</f>
        <v/>
      </c>
      <c r="C76" s="13" t="inlineStr">
        <is>
          <t>Energy Status</t>
        </is>
      </c>
      <c r="D76" s="14" t="inlineStr">
        <is>
          <t>Compares actual vs benchmark SEC.</t>
        </is>
      </c>
      <c r="E76" s="14" t="inlineStr">
        <is>
          <t>SEC benchmark se compare karo.</t>
        </is>
      </c>
      <c r="F76" s="30" t="inlineStr">
        <is>
          <t>IF=SEC se status label.</t>
        </is>
      </c>
      <c r="G76" s="16" t="inlineStr">
        <is>
          <t>MNC: Energy star rating check.</t>
        </is>
      </c>
    </row>
    <row r="77" ht="52" customHeight="1">
      <c r="A77" s="25" t="inlineStr">
        <is>
          <t>71</t>
        </is>
      </c>
      <c r="B77" s="26">
        <f>D2*365</f>
        <v/>
      </c>
      <c r="C77" s="27" t="inlineStr">
        <is>
          <t>Annual Proj Cost</t>
        </is>
      </c>
      <c r="D77" s="28" t="inlineStr">
        <is>
          <t>Daily cost × 365 = annual projection.</t>
        </is>
      </c>
      <c r="E77" s="28" t="inlineStr">
        <is>
          <t>Roz ka cost × 365 = saal ka estimate.</t>
        </is>
      </c>
      <c r="F77" s="29" t="inlineStr">
        <is>
          <t>Daily×365=Annual Projection.</t>
        </is>
      </c>
      <c r="G77" s="10" t="inlineStr">
        <is>
          <t>MNC: Annual utility budget planning.</t>
        </is>
      </c>
    </row>
    <row r="78" ht="52" customHeight="1">
      <c r="A78" s="11" t="inlineStr">
        <is>
          <t>72</t>
        </is>
      </c>
      <c r="B78" s="12">
        <f>D2/E2</f>
        <v/>
      </c>
      <c r="C78" s="13" t="inlineStr">
        <is>
          <t>Cost per KL Water</t>
        </is>
      </c>
      <c r="D78" s="14" t="inlineStr">
        <is>
          <t>Total water cost ÷ KL consumed.</t>
        </is>
      </c>
      <c r="E78" s="14" t="inlineStr">
        <is>
          <t>Per KL paani ka cost nikalo.</t>
        </is>
      </c>
      <c r="F78" s="30" t="inlineStr">
        <is>
          <t>Total Cost/KL=Per KL Cost.</t>
        </is>
      </c>
      <c r="G78" s="16" t="inlineStr">
        <is>
          <t>MNC: Water cost benchmarking.</t>
        </is>
      </c>
    </row>
    <row r="79" ht="26" customHeight="1">
      <c r="A79" s="31" t="inlineStr">
        <is>
          <t xml:space="preserve">  ►  4. PROTECTION / SAFETY (EHS) — Suraksha Vibhag</t>
        </is>
      </c>
    </row>
    <row r="80" ht="52" customHeight="1">
      <c r="A80" s="32" t="inlineStr">
        <is>
          <t>73</t>
        </is>
      </c>
      <c r="B80" s="33">
        <f>TODAY()-B2</f>
        <v/>
      </c>
      <c r="C80" s="34" t="inlineStr">
        <is>
          <t>Safe Days</t>
        </is>
      </c>
      <c r="D80" s="35" t="inlineStr">
        <is>
          <t>Accident-free days counter.</t>
        </is>
      </c>
      <c r="E80" s="35" t="inlineStr">
        <is>
          <t>Last accident se safe din count karo.</t>
        </is>
      </c>
      <c r="F80" s="36" t="inlineStr">
        <is>
          <t>TODAY()-Date=Safe days.</t>
        </is>
      </c>
      <c r="G80" s="10" t="inlineStr">
        <is>
          <t>MNC: Safety board display.</t>
        </is>
      </c>
    </row>
    <row r="81" ht="52" customHeight="1">
      <c r="A81" s="11" t="inlineStr">
        <is>
          <t>74</t>
        </is>
      </c>
      <c r="B81" s="12">
        <f>IF(TODAY()-B2&gt;=365,"GREEN",IF(TODAY()-B2&gt;=180,"YELLOW","RED"))</f>
        <v/>
      </c>
      <c r="C81" s="13" t="inlineStr">
        <is>
          <t>Safety Color</t>
        </is>
      </c>
      <c r="D81" s="14" t="inlineStr">
        <is>
          <t>Traffic light safety status.</t>
        </is>
      </c>
      <c r="E81" s="14" t="inlineStr">
        <is>
          <t>Safe days se GREEN/YELLOW/RED.</t>
        </is>
      </c>
      <c r="F81" s="37" t="inlineStr">
        <is>
          <t>IF Nested=Days se color.</t>
        </is>
      </c>
      <c r="G81" s="16" t="inlineStr">
        <is>
          <t>MNC: Safety dashboard KPI.</t>
        </is>
      </c>
    </row>
    <row r="82" ht="52" customHeight="1">
      <c r="A82" s="32" t="inlineStr">
        <is>
          <t>75</t>
        </is>
      </c>
      <c r="B82" s="33">
        <f>(COUNTIF(C:C,"LTI")*1000000)/(D2*E2)</f>
        <v/>
      </c>
      <c r="C82" s="34" t="inlineStr">
        <is>
          <t>LTIFR</t>
        </is>
      </c>
      <c r="D82" s="35" t="inlineStr">
        <is>
          <t>Lost Time Injury Frequency Rate.</t>
        </is>
      </c>
      <c r="E82" s="35" t="inlineStr">
        <is>
          <t>LTIFR = global safety benchmark.</t>
        </is>
      </c>
      <c r="F82" s="36" t="inlineStr">
        <is>
          <t>(LTI×1M)/(Emp×Hours)=LTIFR.</t>
        </is>
      </c>
      <c r="G82" s="10" t="inlineStr">
        <is>
          <t>MNC: Global safety KPI reporting.</t>
        </is>
      </c>
    </row>
    <row r="83" ht="52" customHeight="1">
      <c r="A83" s="11" t="inlineStr">
        <is>
          <t>76</t>
        </is>
      </c>
      <c r="B83" s="12">
        <f>(COUNTIF(C:C,"Accident")*1000000)/(D2*E2)</f>
        <v/>
      </c>
      <c r="C83" s="13" t="inlineStr">
        <is>
          <t>TRIFR</t>
        </is>
      </c>
      <c r="D83" s="14" t="inlineStr">
        <is>
          <t>Total Recordable Injury Frequency Rate.</t>
        </is>
      </c>
      <c r="E83" s="14" t="inlineStr">
        <is>
          <t>TRIFR = all recordable injuries rate.</t>
        </is>
      </c>
      <c r="F83" s="37" t="inlineStr">
        <is>
          <t>(Accidents×1M)/(Emp×Hrs)=TRIFR.</t>
        </is>
      </c>
      <c r="G83" s="16" t="inlineStr">
        <is>
          <t>MNC: Total recordable incidents rate.</t>
        </is>
      </c>
    </row>
    <row r="84" ht="52" customHeight="1">
      <c r="A84" s="32" t="inlineStr">
        <is>
          <t>77</t>
        </is>
      </c>
      <c r="B84" s="33">
        <f>COUNTIF(C:C,"Near Miss")</f>
        <v/>
      </c>
      <c r="C84" s="34" t="inlineStr">
        <is>
          <t>Near Miss</t>
        </is>
      </c>
      <c r="D84" s="35" t="inlineStr">
        <is>
          <t>Near miss count.</t>
        </is>
      </c>
      <c r="E84" s="35" t="inlineStr">
        <is>
          <t>Near miss incidents gino.</t>
        </is>
      </c>
      <c r="F84" s="36" t="inlineStr">
        <is>
          <t>'COUNTIF'=Near Miss count.</t>
        </is>
      </c>
      <c r="G84" s="10" t="inlineStr">
        <is>
          <t>MNC: Safety leading indicator KPI.</t>
        </is>
      </c>
    </row>
    <row r="85" ht="52" customHeight="1">
      <c r="A85" s="11" t="inlineStr">
        <is>
          <t>78</t>
        </is>
      </c>
      <c r="B85" s="12">
        <f>COUNTIF(C:C,"Near Miss")/COUNTIF(C:C,"Accident")</f>
        <v/>
      </c>
      <c r="C85" s="13" t="inlineStr">
        <is>
          <t>Near Miss Ratio</t>
        </is>
      </c>
      <c r="D85" s="14" t="inlineStr">
        <is>
          <t>Near miss to accident ratio.</t>
        </is>
      </c>
      <c r="E85" s="14" t="inlineStr">
        <is>
          <t>Near miss aur accident ka ratio.</t>
        </is>
      </c>
      <c r="F85" s="37" t="inlineStr">
        <is>
          <t>Near Miss/Accident=Ratio.</t>
        </is>
      </c>
      <c r="G85" s="16" t="inlineStr">
        <is>
          <t>MNC: Safety culture indicator — higher is better.</t>
        </is>
      </c>
    </row>
    <row r="86" ht="52" customHeight="1">
      <c r="A86" s="32" t="inlineStr">
        <is>
          <t>79</t>
        </is>
      </c>
      <c r="B86" s="33">
        <f>COUNTIF(D:D,"Unsafe Act")+COUNTIF(D:D,"Unsafe Condition")</f>
        <v/>
      </c>
      <c r="C86" s="34" t="inlineStr">
        <is>
          <t>Unsafe Obs</t>
        </is>
      </c>
      <c r="D86" s="35" t="inlineStr">
        <is>
          <t>Total unsafe observations.</t>
        </is>
      </c>
      <c r="E86" s="35" t="inlineStr">
        <is>
          <t>Unsafe acts + conditions gino.</t>
        </is>
      </c>
      <c r="F86" s="36" t="inlineStr">
        <is>
          <t>COUNTIF+COUNTIF=Total unsafe obs.</t>
        </is>
      </c>
      <c r="G86" s="10" t="inlineStr">
        <is>
          <t>MNC: Safety walk observation report.</t>
        </is>
      </c>
    </row>
    <row r="87" ht="52" customHeight="1">
      <c r="A87" s="11" t="inlineStr">
        <is>
          <t>80</t>
        </is>
      </c>
      <c r="B87" s="12">
        <f>COUNTIF(E:E,"Yes")/COUNTA(E:E)*100</f>
        <v/>
      </c>
      <c r="C87" s="13" t="inlineStr">
        <is>
          <t>PPE Compliance %</t>
        </is>
      </c>
      <c r="D87" s="14" t="inlineStr">
        <is>
          <t>PPE wearing compliance %.</t>
        </is>
      </c>
      <c r="E87" s="14" t="inlineStr">
        <is>
          <t>PPE compliance % nikalo.</t>
        </is>
      </c>
      <c r="F87" s="37" t="inlineStr">
        <is>
          <t>Yes/Total×100=PPE %.</t>
        </is>
      </c>
      <c r="G87" s="16" t="inlineStr">
        <is>
          <t>MNC: Daily PPE audit tracking.</t>
        </is>
      </c>
    </row>
    <row r="88" ht="52" customHeight="1">
      <c r="A88" s="32" t="inlineStr">
        <is>
          <t>81</t>
        </is>
      </c>
      <c r="B88" s="33">
        <f>D2*E2</f>
        <v/>
      </c>
      <c r="C88" s="34" t="inlineStr">
        <is>
          <t>RPN HIRA</t>
        </is>
      </c>
      <c r="D88" s="35" t="inlineStr">
        <is>
          <t>Severity × Probability = Risk score.</t>
        </is>
      </c>
      <c r="E88" s="35" t="inlineStr">
        <is>
          <t>HIRA risk score nikalo.</t>
        </is>
      </c>
      <c r="F88" s="36" t="inlineStr">
        <is>
          <t>Severity×Probability=RPN.</t>
        </is>
      </c>
      <c r="G88" s="10" t="inlineStr">
        <is>
          <t>MNC: Risk assessment — HIRA/JSA.</t>
        </is>
      </c>
    </row>
    <row r="89" ht="52" customHeight="1">
      <c r="A89" s="11" t="inlineStr">
        <is>
          <t>82</t>
        </is>
      </c>
      <c r="B89" s="12">
        <f>IF(D2*E2&gt;=15,"Unacceptable",IF(D2*E2&gt;=8,"Tolerable","Acceptable"))</f>
        <v/>
      </c>
      <c r="C89" s="13" t="inlineStr">
        <is>
          <t>Risk Decision</t>
        </is>
      </c>
      <c r="D89" s="14" t="inlineStr">
        <is>
          <t>Risk acceptability classification.</t>
        </is>
      </c>
      <c r="E89" s="14" t="inlineStr">
        <is>
          <t>RPN se risk classification karo.</t>
        </is>
      </c>
      <c r="F89" s="37" t="inlineStr">
        <is>
          <t>IF+RPN=Risk decision.</t>
        </is>
      </c>
      <c r="G89" s="16" t="inlineStr">
        <is>
          <t>MNC: Safety action required or not.</t>
        </is>
      </c>
    </row>
    <row r="90" ht="52" customHeight="1">
      <c r="A90" s="32" t="inlineStr">
        <is>
          <t>83</t>
        </is>
      </c>
      <c r="B90" s="33">
        <f>COUNTIF(C:C,"Training Pending")/COUNTA(C:C)*100</f>
        <v/>
      </c>
      <c r="C90" s="34" t="inlineStr">
        <is>
          <t>Training Gap %</t>
        </is>
      </c>
      <c r="D90" s="35" t="inlineStr">
        <is>
          <t>Safety training gap %.</t>
        </is>
      </c>
      <c r="E90" s="35" t="inlineStr">
        <is>
          <t>Training pending logon ka %.</t>
        </is>
      </c>
      <c r="F90" s="36" t="inlineStr">
        <is>
          <t>Pending/Total×100=Gap %.</t>
        </is>
      </c>
      <c r="G90" s="10" t="inlineStr">
        <is>
          <t>MNC: Safety compliance gap report.</t>
        </is>
      </c>
    </row>
    <row r="91" ht="52" customHeight="1">
      <c r="A91" s="11" t="inlineStr">
        <is>
          <t>84</t>
        </is>
      </c>
      <c r="B91" s="12">
        <f>IF(AVERAGE(D:D)&gt;=90,"Excellent",IF(AVERAGE(D:D)&gt;=75,"Good","Needs Improvement"))</f>
        <v/>
      </c>
      <c r="C91" s="13" t="inlineStr">
        <is>
          <t>Audit Grade</t>
        </is>
      </c>
      <c r="D91" s="14" t="inlineStr">
        <is>
          <t>Safety audit performance grade.</t>
        </is>
      </c>
      <c r="E91" s="14" t="inlineStr">
        <is>
          <t>Average audit score se grade.</t>
        </is>
      </c>
      <c r="F91" s="37" t="inlineStr">
        <is>
          <t>IF+AVERAGE=Score se grade.</t>
        </is>
      </c>
      <c r="G91" s="16" t="inlineStr">
        <is>
          <t>MNC: Monthly safety audit grade.</t>
        </is>
      </c>
    </row>
    <row r="92" ht="52" customHeight="1">
      <c r="A92" s="32" t="inlineStr">
        <is>
          <t>85</t>
        </is>
      </c>
      <c r="B92" s="33">
        <f>IF(TODAY()-B2&gt;30,"OVERDUE","OK")</f>
        <v/>
      </c>
      <c r="C92" s="34" t="inlineStr">
        <is>
          <t>Audit Overdue</t>
        </is>
      </c>
      <c r="D92" s="35" t="inlineStr">
        <is>
          <t>30-day audit schedule check.</t>
        </is>
      </c>
      <c r="E92" s="35" t="inlineStr">
        <is>
          <t>30 din mein audit nahi toh flag.</t>
        </is>
      </c>
      <c r="F92" s="36" t="inlineStr">
        <is>
          <t>IF+TODAY=30 day check.</t>
        </is>
      </c>
      <c r="G92" s="10" t="inlineStr">
        <is>
          <t>MNC: Safety audit compliance.</t>
        </is>
      </c>
    </row>
    <row r="93" ht="52" customHeight="1">
      <c r="A93" s="11" t="inlineStr">
        <is>
          <t>86</t>
        </is>
      </c>
      <c r="B93" s="12">
        <f>D2*E2*F2</f>
        <v/>
      </c>
      <c r="C93" s="13" t="inlineStr">
        <is>
          <t>CO2 Emission</t>
        </is>
      </c>
      <c r="D93" s="14" t="inlineStr">
        <is>
          <t>Activity × Factor × Days = CO2.</t>
        </is>
      </c>
      <c r="E93" s="14" t="inlineStr">
        <is>
          <t>Carbon emission calculate karo.</t>
        </is>
      </c>
      <c r="F93" s="37" t="inlineStr">
        <is>
          <t>Qty×Factor×Days=CO2 tonnes.</t>
        </is>
      </c>
      <c r="G93" s="16" t="inlineStr">
        <is>
          <t>MNC: GHG emission tracking.</t>
        </is>
      </c>
    </row>
    <row r="94" ht="52" customHeight="1">
      <c r="A94" s="32" t="inlineStr">
        <is>
          <t>87</t>
        </is>
      </c>
      <c r="B94" s="33">
        <f>COUNTIF(C:C,"Fire")+COUNTIF(C:C,"Chemical")</f>
        <v/>
      </c>
      <c r="C94" s="34" t="inlineStr">
        <is>
          <t>Hazmat Incidents</t>
        </is>
      </c>
      <c r="D94" s="35" t="inlineStr">
        <is>
          <t>Fire and chemical incident count.</t>
        </is>
      </c>
      <c r="E94" s="35" t="inlineStr">
        <is>
          <t>Fire aur chemical incidents gino.</t>
        </is>
      </c>
      <c r="F94" s="36" t="inlineStr">
        <is>
          <t>COUNTIF+COUNTIF=Hazmat count.</t>
        </is>
      </c>
      <c r="G94" s="10" t="inlineStr">
        <is>
          <t>MNC: Hazardous incident tracking.</t>
        </is>
      </c>
    </row>
    <row r="95" ht="52" customHeight="1">
      <c r="A95" s="11" t="inlineStr">
        <is>
          <t>88</t>
        </is>
      </c>
      <c r="B95" s="12">
        <f>D2/E2*100</f>
        <v/>
      </c>
      <c r="C95" s="13" t="inlineStr">
        <is>
          <t>Safety Score %</t>
        </is>
      </c>
      <c r="D95" s="14" t="inlineStr">
        <is>
          <t>Dept safety score vs maximum.</t>
        </is>
      </c>
      <c r="E95" s="14" t="inlineStr">
        <is>
          <t>Safety score % nikalo.</t>
        </is>
      </c>
      <c r="F95" s="37" t="inlineStr">
        <is>
          <t>Score/Max×100=Safety %.</t>
        </is>
      </c>
      <c r="G95" s="16" t="inlineStr">
        <is>
          <t>MNC: Department safety ranking.</t>
        </is>
      </c>
    </row>
    <row r="96" ht="52" customHeight="1">
      <c r="A96" s="32" t="inlineStr">
        <is>
          <t>89</t>
        </is>
      </c>
      <c r="B96" s="33">
        <f>RANK(D2,D$2:D$10,0)</f>
        <v/>
      </c>
      <c r="C96" s="34" t="inlineStr">
        <is>
          <t>Dept Safety Rank</t>
        </is>
      </c>
      <c r="D96" s="35" t="inlineStr">
        <is>
          <t>Ranks departments by safety score.</t>
        </is>
      </c>
      <c r="E96" s="35" t="inlineStr">
        <is>
          <t>Safety score se department rank.</t>
        </is>
      </c>
      <c r="F96" s="36" t="inlineStr">
        <is>
          <t>'RANK'=Safety score rank.</t>
        </is>
      </c>
      <c r="G96" s="10" t="inlineStr">
        <is>
          <t>MNC: Interdepartment safety competition.</t>
        </is>
      </c>
    </row>
    <row r="97" ht="52" customHeight="1">
      <c r="A97" s="11" t="inlineStr">
        <is>
          <t>90</t>
        </is>
      </c>
      <c r="B97" s="12">
        <f>COUNTIFS(B:B,"Electrical",C:C,"High")</f>
        <v/>
      </c>
      <c r="C97" s="13" t="inlineStr">
        <is>
          <t>High Elec Risk</t>
        </is>
      </c>
      <c r="D97" s="14" t="inlineStr">
        <is>
          <t>High-risk electrical hazards count.</t>
        </is>
      </c>
      <c r="E97" s="14" t="inlineStr">
        <is>
          <t>Electrical + High risk count.</t>
        </is>
      </c>
      <c r="F97" s="37" t="inlineStr">
        <is>
          <t>'COUNTIFS'=Type+Risk level count.</t>
        </is>
      </c>
      <c r="G97" s="16" t="inlineStr">
        <is>
          <t>MNC: Electrical safety audit.</t>
        </is>
      </c>
    </row>
    <row r="98" ht="52" customHeight="1">
      <c r="A98" s="32" t="inlineStr">
        <is>
          <t>91</t>
        </is>
      </c>
      <c r="B98" s="33">
        <f>DATEDIF(B2,TODAY(),"D")</f>
        <v/>
      </c>
      <c r="C98" s="34" t="inlineStr">
        <is>
          <t>Days Since Audit</t>
        </is>
      </c>
      <c r="D98" s="35" t="inlineStr">
        <is>
          <t>Days since last safety audit.</t>
        </is>
      </c>
      <c r="E98" s="35" t="inlineStr">
        <is>
          <t>Last audit ke baad kitne din.</t>
        </is>
      </c>
      <c r="F98" s="36" t="inlineStr">
        <is>
          <t>'DATEDIF'=Date se aaj din.</t>
        </is>
      </c>
      <c r="G98" s="10" t="inlineStr">
        <is>
          <t>MNC: Audit frequency monitoring.</t>
        </is>
      </c>
    </row>
    <row r="99" ht="52" customHeight="1">
      <c r="A99" s="11" t="inlineStr">
        <is>
          <t>92</t>
        </is>
      </c>
      <c r="B99" s="12">
        <f>D2*E2/100</f>
        <v/>
      </c>
      <c r="C99" s="13" t="inlineStr">
        <is>
          <t>Weighted Risk</t>
        </is>
      </c>
      <c r="D99" s="14" t="inlineStr">
        <is>
          <t>Risk score × weight = weighted score.</t>
        </is>
      </c>
      <c r="E99" s="14" t="inlineStr">
        <is>
          <t>Risk score weighted calculate karo.</t>
        </is>
      </c>
      <c r="F99" s="37" t="inlineStr">
        <is>
          <t>Score×Weight/100=Weighted.</t>
        </is>
      </c>
      <c r="G99" s="16" t="inlineStr">
        <is>
          <t>MNC: Multi-criteria risk ranking.</t>
        </is>
      </c>
    </row>
    <row r="100" ht="26" customHeight="1">
      <c r="A100" s="38" t="inlineStr">
        <is>
          <t xml:space="preserve">  ►  5. MAINTENANCE DEPARTMENT (TPM) — Anurakshan Vibhag</t>
        </is>
      </c>
    </row>
    <row r="101" ht="52" customHeight="1">
      <c r="A101" s="39" t="inlineStr">
        <is>
          <t>93</t>
        </is>
      </c>
      <c r="B101" s="40">
        <f>E2/COUNTIF(C:C,"Breakdown")</f>
        <v/>
      </c>
      <c r="C101" s="41" t="inlineStr">
        <is>
          <t>MTBF</t>
        </is>
      </c>
      <c r="D101" s="42" t="inlineStr">
        <is>
          <t>Mean Time Between Failures.</t>
        </is>
      </c>
      <c r="E101" s="42" t="inlineStr">
        <is>
          <t>MTBF nikalo — machine reliability.</t>
        </is>
      </c>
      <c r="F101" s="43" t="inlineStr">
        <is>
          <t>Hours/Breakdowns=MTBF.</t>
        </is>
      </c>
      <c r="G101" s="10" t="inlineStr">
        <is>
          <t>MNC: Critical machine reliability KPI.</t>
        </is>
      </c>
    </row>
    <row r="102" ht="52" customHeight="1">
      <c r="A102" s="11" t="inlineStr">
        <is>
          <t>94</t>
        </is>
      </c>
      <c r="B102" s="12">
        <f>AVERAGE(D:D)</f>
        <v/>
      </c>
      <c r="C102" s="13" t="inlineStr">
        <is>
          <t>MTTR</t>
        </is>
      </c>
      <c r="D102" s="14" t="inlineStr">
        <is>
          <t>Mean Time To Repair.</t>
        </is>
      </c>
      <c r="E102" s="14" t="inlineStr">
        <is>
          <t>Repair average time — MTTR.</t>
        </is>
      </c>
      <c r="F102" s="44" t="inlineStr">
        <is>
          <t>'AVERAGE'=Mean repair time.</t>
        </is>
      </c>
      <c r="G102" s="16" t="inlineStr">
        <is>
          <t>MNC: Maintenance team efficiency.</t>
        </is>
      </c>
    </row>
    <row r="103" ht="52" customHeight="1">
      <c r="A103" s="39" t="inlineStr">
        <is>
          <t>95</t>
        </is>
      </c>
      <c r="B103" s="40">
        <f>COUNTIF(C:C,"Planned")/COUNTA(C:C)*100</f>
        <v/>
      </c>
      <c r="C103" s="41" t="inlineStr">
        <is>
          <t>PM Compliance %</t>
        </is>
      </c>
      <c r="D103" s="42" t="inlineStr">
        <is>
          <t>PM schedule compliance.</t>
        </is>
      </c>
      <c r="E103" s="42" t="inlineStr">
        <is>
          <t>PM kitna % on schedule hua.</t>
        </is>
      </c>
      <c r="F103" s="43" t="inlineStr">
        <is>
          <t>Done/Total×100=PM %.</t>
        </is>
      </c>
      <c r="G103" s="10" t="inlineStr">
        <is>
          <t>MNC: TPM autonomous maintenance.</t>
        </is>
      </c>
    </row>
    <row r="104" ht="52" customHeight="1">
      <c r="A104" s="11" t="inlineStr">
        <is>
          <t>96</t>
        </is>
      </c>
      <c r="B104" s="12">
        <f>D2/(D2+E2)*100</f>
        <v/>
      </c>
      <c r="C104" s="13" t="inlineStr">
        <is>
          <t>Proactive Maint %</t>
        </is>
      </c>
      <c r="D104" s="14" t="inlineStr">
        <is>
          <t>Planned vs total maintenance %.</t>
        </is>
      </c>
      <c r="E104" s="14" t="inlineStr">
        <is>
          <t>Planned maintenance ka ratio %.</t>
        </is>
      </c>
      <c r="F104" s="44" t="inlineStr">
        <is>
          <t>Planned/(Planned+Reactive)×100.</t>
        </is>
      </c>
      <c r="G104" s="16" t="inlineStr">
        <is>
          <t>MNC: Reactive to proactive shift.</t>
        </is>
      </c>
    </row>
    <row r="105" ht="52" customHeight="1">
      <c r="A105" s="39" t="inlineStr">
        <is>
          <t>97</t>
        </is>
      </c>
      <c r="B105" s="40">
        <f>SUMIF(B:B,"Breakdown",D:D)</f>
        <v/>
      </c>
      <c r="C105" s="41" t="inlineStr">
        <is>
          <t>Breakdown Hrs</t>
        </is>
      </c>
      <c r="D105" s="42" t="inlineStr">
        <is>
          <t>Total hours lost to breakdowns.</t>
        </is>
      </c>
      <c r="E105" s="42" t="inlineStr">
        <is>
          <t>Saare breakdowns ke total hours.</t>
        </is>
      </c>
      <c r="F105" s="43" t="inlineStr">
        <is>
          <t>'SUMIF'=Breakdown hours sum.</t>
        </is>
      </c>
      <c r="G105" s="10" t="inlineStr">
        <is>
          <t>MNC: Production loss calculation.</t>
        </is>
      </c>
    </row>
    <row r="106" ht="52" customHeight="1">
      <c r="A106" s="11" t="inlineStr">
        <is>
          <t>98</t>
        </is>
      </c>
      <c r="B106" s="12">
        <f>D2*E2</f>
        <v/>
      </c>
      <c r="C106" s="13" t="inlineStr">
        <is>
          <t>Breakdown Loss ₹</t>
        </is>
      </c>
      <c r="D106" s="14" t="inlineStr">
        <is>
          <t>Breakdown hours × production rate.</t>
        </is>
      </c>
      <c r="E106" s="14" t="inlineStr">
        <is>
          <t>Breakdown ghante × rate = loss ₹.</t>
        </is>
      </c>
      <c r="F106" s="44" t="inlineStr">
        <is>
          <t>Hours×Rate=Breakdown Loss ₹.</t>
        </is>
      </c>
      <c r="G106" s="16" t="inlineStr">
        <is>
          <t>MNC: Financial impact of downtime.</t>
        </is>
      </c>
    </row>
    <row r="107" ht="52" customHeight="1">
      <c r="A107" s="39" t="inlineStr">
        <is>
          <t>99</t>
        </is>
      </c>
      <c r="B107" s="40">
        <f>COUNTIFS(B:B,"Critical",C:C,"Breakdown")</f>
        <v/>
      </c>
      <c r="C107" s="41" t="inlineStr">
        <is>
          <t>Critical BDs</t>
        </is>
      </c>
      <c r="D107" s="42" t="inlineStr">
        <is>
          <t>Critical machine breakdowns.</t>
        </is>
      </c>
      <c r="E107" s="42" t="inlineStr">
        <is>
          <t>Critical machine breakdowns gino.</t>
        </is>
      </c>
      <c r="F107" s="43" t="inlineStr">
        <is>
          <t>'COUNTIFS'=Critical+Breakdown.</t>
        </is>
      </c>
      <c r="G107" s="10" t="inlineStr">
        <is>
          <t>MNC: Priority response tracking.</t>
        </is>
      </c>
    </row>
    <row r="108" ht="52" customHeight="1">
      <c r="A108" s="11" t="inlineStr">
        <is>
          <t>100</t>
        </is>
      </c>
      <c r="B108" s="12">
        <f>IF(TODAY()-B2&gt;D2,"PM Overdue","OK")</f>
        <v/>
      </c>
      <c r="C108" s="13" t="inlineStr">
        <is>
          <t>PM Overdue</t>
        </is>
      </c>
      <c r="D108" s="14" t="inlineStr">
        <is>
          <t>PM overdue check by frequency.</t>
        </is>
      </c>
      <c r="E108" s="14" t="inlineStr">
        <is>
          <t>PM due date nikal gayi ya nahi.</t>
        </is>
      </c>
      <c r="F108" s="44" t="inlineStr">
        <is>
          <t>IF=Date check overdue flag.</t>
        </is>
      </c>
      <c r="G108" s="16" t="inlineStr">
        <is>
          <t>MNC: Daily PM schedule monitoring.</t>
        </is>
      </c>
    </row>
    <row r="109" ht="52" customHeight="1">
      <c r="A109" s="39" t="inlineStr">
        <is>
          <t>101</t>
        </is>
      </c>
      <c r="B109" s="40">
        <f>B2+C2</f>
        <v/>
      </c>
      <c r="C109" s="41" t="inlineStr">
        <is>
          <t>Next PM Date</t>
        </is>
      </c>
      <c r="D109" s="42" t="inlineStr">
        <is>
          <t>Last PM + frequency = next PM.</t>
        </is>
      </c>
      <c r="E109" s="42" t="inlineStr">
        <is>
          <t>Next PM due date auto-calculate.</t>
        </is>
      </c>
      <c r="F109" s="43" t="inlineStr">
        <is>
          <t>Last PM + Days = Next Due.</t>
        </is>
      </c>
      <c r="G109" s="10" t="inlineStr">
        <is>
          <t>MNC: PM calendar auto-update.</t>
        </is>
      </c>
    </row>
    <row r="110" ht="52" customHeight="1">
      <c r="A110" s="11" t="inlineStr">
        <is>
          <t>102</t>
        </is>
      </c>
      <c r="B110" s="12">
        <f>(E2-F2)/E2*100</f>
        <v/>
      </c>
      <c r="C110" s="13" t="inlineStr">
        <is>
          <t>Availability %</t>
        </is>
      </c>
      <c r="D110" s="14" t="inlineStr">
        <is>
          <t>Machine available time %.</t>
        </is>
      </c>
      <c r="E110" s="14" t="inlineStr">
        <is>
          <t>Machine kitni % time available.</t>
        </is>
      </c>
      <c r="F110" s="44" t="inlineStr">
        <is>
          <t>(Total-DT)/Total×100=Avail %.</t>
        </is>
      </c>
      <c r="G110" s="16" t="inlineStr">
        <is>
          <t>MNC: OEE availability component.</t>
        </is>
      </c>
    </row>
    <row r="111" ht="52" customHeight="1">
      <c r="A111" s="39" t="inlineStr">
        <is>
          <t>103</t>
        </is>
      </c>
      <c r="B111" s="40">
        <f>D2/E2*100</f>
        <v/>
      </c>
      <c r="C111" s="41" t="inlineStr">
        <is>
          <t>Spare Usage %</t>
        </is>
      </c>
      <c r="D111" s="42" t="inlineStr">
        <is>
          <t>Spares consumed vs available.</t>
        </is>
      </c>
      <c r="E111" s="42" t="inlineStr">
        <is>
          <t>Spare parts ka use % nikalo.</t>
        </is>
      </c>
      <c r="F111" s="43" t="inlineStr">
        <is>
          <t>Used/Available×100=Usage %.</t>
        </is>
      </c>
      <c r="G111" s="10" t="inlineStr">
        <is>
          <t>MNC: Spare parts inventory management.</t>
        </is>
      </c>
    </row>
    <row r="112" ht="52" customHeight="1">
      <c r="A112" s="11" t="inlineStr">
        <is>
          <t>104</t>
        </is>
      </c>
      <c r="B112" s="12">
        <f>D2*E2</f>
        <v/>
      </c>
      <c r="C112" s="13" t="inlineStr">
        <is>
          <t>Annual Maint Cost</t>
        </is>
      </c>
      <c r="D112" s="14" t="inlineStr">
        <is>
          <t>Monthly cost × 12 months.</t>
        </is>
      </c>
      <c r="E112" s="14" t="inlineStr">
        <is>
          <t>Monthly maintenance cost × 12 = annual.</t>
        </is>
      </c>
      <c r="F112" s="44" t="inlineStr">
        <is>
          <t>Monthly×12=Annual Cost.</t>
        </is>
      </c>
      <c r="G112" s="16" t="inlineStr">
        <is>
          <t>MNC: Maintenance budget planning.</t>
        </is>
      </c>
    </row>
    <row r="113" ht="52" customHeight="1">
      <c r="A113" s="39" t="inlineStr">
        <is>
          <t>105</t>
        </is>
      </c>
      <c r="B113" s="40">
        <f>D2/E2*100</f>
        <v/>
      </c>
      <c r="C113" s="41" t="inlineStr">
        <is>
          <t>Cost per Unit</t>
        </is>
      </c>
      <c r="D113" s="42" t="inlineStr">
        <is>
          <t>Total maint cost ÷ units produced.</t>
        </is>
      </c>
      <c r="E113" s="42" t="inlineStr">
        <is>
          <t>Per unit maintenance cost nikalo.</t>
        </is>
      </c>
      <c r="F113" s="43" t="inlineStr">
        <is>
          <t>Total Cost/Units=Per Unit Cost.</t>
        </is>
      </c>
      <c r="G113" s="10" t="inlineStr">
        <is>
          <t>MNC: Product costing — maint component.</t>
        </is>
      </c>
    </row>
    <row r="114" ht="52" customHeight="1">
      <c r="A114" s="11" t="inlineStr">
        <is>
          <t>106</t>
        </is>
      </c>
      <c r="B114" s="12">
        <f>COUNTIF(D:D,"Completed")</f>
        <v/>
      </c>
      <c r="C114" s="13" t="inlineStr">
        <is>
          <t>Work Orders Done</t>
        </is>
      </c>
      <c r="D114" s="14" t="inlineStr">
        <is>
          <t>Completed work orders count.</t>
        </is>
      </c>
      <c r="E114" s="14" t="inlineStr">
        <is>
          <t>Kitne work orders complete hue.</t>
        </is>
      </c>
      <c r="F114" s="44" t="inlineStr">
        <is>
          <t>'COUNTIF'=Completed count.</t>
        </is>
      </c>
      <c r="G114" s="16" t="inlineStr">
        <is>
          <t>MNC: Work order management KPI.</t>
        </is>
      </c>
    </row>
    <row r="115" ht="52" customHeight="1">
      <c r="A115" s="39" t="inlineStr">
        <is>
          <t>107</t>
        </is>
      </c>
      <c r="B115" s="40">
        <f>COUNTIF(D:D,"Pending")</f>
        <v/>
      </c>
      <c r="C115" s="41" t="inlineStr">
        <is>
          <t>Work Orders Pending</t>
        </is>
      </c>
      <c r="D115" s="42" t="inlineStr">
        <is>
          <t>Pending maintenance work orders.</t>
        </is>
      </c>
      <c r="E115" s="42" t="inlineStr">
        <is>
          <t>Kitne work orders pending hain.</t>
        </is>
      </c>
      <c r="F115" s="43" t="inlineStr">
        <is>
          <t>'COUNTIF'=Pending count.</t>
        </is>
      </c>
      <c r="G115" s="10" t="inlineStr">
        <is>
          <t>MNC: Backlog maintenance tracking.</t>
        </is>
      </c>
    </row>
    <row r="116" ht="52" customHeight="1">
      <c r="A116" s="11" t="inlineStr">
        <is>
          <t>108</t>
        </is>
      </c>
      <c r="B116" s="12">
        <f>D2/E2*100</f>
        <v/>
      </c>
      <c r="C116" s="13" t="inlineStr">
        <is>
          <t>Work Order Closure %</t>
        </is>
      </c>
      <c r="D116" s="14" t="inlineStr">
        <is>
          <t>Work orders closed vs raised.</t>
        </is>
      </c>
      <c r="E116" s="14" t="inlineStr">
        <is>
          <t>Work orders kitne % close hue.</t>
        </is>
      </c>
      <c r="F116" s="44" t="inlineStr">
        <is>
          <t>Closed/Raised×100=Closure %.</t>
        </is>
      </c>
      <c r="G116" s="16" t="inlineStr">
        <is>
          <t>MNC: Maintenance team productivity.</t>
        </is>
      </c>
    </row>
    <row r="117" ht="52" customHeight="1">
      <c r="A117" s="39" t="inlineStr">
        <is>
          <t>109</t>
        </is>
      </c>
      <c r="B117" s="40">
        <f>SUMIF(B:B,"Lubrication",D:D)</f>
        <v/>
      </c>
      <c r="C117" s="41" t="inlineStr">
        <is>
          <t>Lubrication Hours</t>
        </is>
      </c>
      <c r="D117" s="42" t="inlineStr">
        <is>
          <t>Total lubrication PM hours.</t>
        </is>
      </c>
      <c r="E117" s="42" t="inlineStr">
        <is>
          <t>Lubrication PM ke total hours.</t>
        </is>
      </c>
      <c r="F117" s="43" t="inlineStr">
        <is>
          <t>'SUMIF'=Lube PM hours sum.</t>
        </is>
      </c>
      <c r="G117" s="10" t="inlineStr">
        <is>
          <t>MNC: Autonomous maintenance tracking.</t>
        </is>
      </c>
    </row>
    <row r="118" ht="52" customHeight="1">
      <c r="A118" s="11" t="inlineStr">
        <is>
          <t>110</t>
        </is>
      </c>
      <c r="B118" s="12">
        <f>IF(D2&gt;=E2,"Sufficient","Order Spares")</f>
        <v/>
      </c>
      <c r="C118" s="13" t="inlineStr">
        <is>
          <t>Spare Alert</t>
        </is>
      </c>
      <c r="D118" s="14" t="inlineStr">
        <is>
          <t>Spare parts stock alert.</t>
        </is>
      </c>
      <c r="E118" s="14" t="inlineStr">
        <is>
          <t>Spares khatam hone pe order alert.</t>
        </is>
      </c>
      <c r="F118" s="44" t="inlineStr">
        <is>
          <t>IF=Stock vs minimum level.</t>
        </is>
      </c>
      <c r="G118" s="16" t="inlineStr">
        <is>
          <t>MNC: Critical spare stock monitoring.</t>
        </is>
      </c>
    </row>
    <row r="119" ht="26" customHeight="1">
      <c r="A119" s="45" t="inlineStr">
        <is>
          <t xml:space="preserve">  ►  6. STORES / INVENTORY / WAREHOUSE — Bhandar Vibhag</t>
        </is>
      </c>
    </row>
    <row r="120" ht="52" customHeight="1">
      <c r="A120" s="46" t="inlineStr">
        <is>
          <t>111</t>
        </is>
      </c>
      <c r="B120" s="47">
        <f>C2+D2-E2</f>
        <v/>
      </c>
      <c r="C120" s="48" t="inlineStr">
        <is>
          <t>Closing Stock</t>
        </is>
      </c>
      <c r="D120" s="49" t="inlineStr">
        <is>
          <t>Opening + Receipts - Issues.</t>
        </is>
      </c>
      <c r="E120" s="49" t="inlineStr">
        <is>
          <t>Stock movement — closing balance.</t>
        </is>
      </c>
      <c r="F120" s="50" t="inlineStr">
        <is>
          <t>Open+Receipt-Issue=Closing.</t>
        </is>
      </c>
      <c r="G120" s="10" t="inlineStr">
        <is>
          <t>MNC: Daily bin card entry.</t>
        </is>
      </c>
    </row>
    <row r="121" ht="52" customHeight="1">
      <c r="A121" s="11" t="inlineStr">
        <is>
          <t>112</t>
        </is>
      </c>
      <c r="B121" s="12">
        <f>IF(D2&lt;=E2,"Reorder Now","OK")</f>
        <v/>
      </c>
      <c r="C121" s="13" t="inlineStr">
        <is>
          <t>Reorder Alert</t>
        </is>
      </c>
      <c r="D121" s="14" t="inlineStr">
        <is>
          <t>Stock at or below reorder point.</t>
        </is>
      </c>
      <c r="E121" s="14" t="inlineStr">
        <is>
          <t>Reorder level pe aaya toh alert.</t>
        </is>
      </c>
      <c r="F121" s="51" t="inlineStr">
        <is>
          <t>IF=Stock≤ROL → Reorder.</t>
        </is>
      </c>
      <c r="G121" s="16" t="inlineStr">
        <is>
          <t>MNC: Automatic reorder trigger.</t>
        </is>
      </c>
    </row>
    <row r="122" ht="52" customHeight="1">
      <c r="A122" s="46" t="inlineStr">
        <is>
          <t>113</t>
        </is>
      </c>
      <c r="B122" s="47">
        <f>D2/E2*30</f>
        <v/>
      </c>
      <c r="C122" s="48" t="inlineStr">
        <is>
          <t>Days of Stock</t>
        </is>
      </c>
      <c r="D122" s="49" t="inlineStr">
        <is>
          <t>Days current stock will last.</t>
        </is>
      </c>
      <c r="E122" s="49" t="inlineStr">
        <is>
          <t>Abhi ka stock kitne din chalega.</t>
        </is>
      </c>
      <c r="F122" s="50" t="inlineStr">
        <is>
          <t>Stock/Monthly Use×30=Days.</t>
        </is>
      </c>
      <c r="G122" s="10" t="inlineStr">
        <is>
          <t>MNC: Inventory coverage planning.</t>
        </is>
      </c>
    </row>
    <row r="123" ht="52" customHeight="1">
      <c r="A123" s="11" t="inlineStr">
        <is>
          <t>114</t>
        </is>
      </c>
      <c r="B123" s="12">
        <f>D2*E2</f>
        <v/>
      </c>
      <c r="C123" s="13" t="inlineStr">
        <is>
          <t>Stock Value ₹</t>
        </is>
      </c>
      <c r="D123" s="14" t="inlineStr">
        <is>
          <t>Quantity × rate = stock value.</t>
        </is>
      </c>
      <c r="E123" s="14" t="inlineStr">
        <is>
          <t>Qty × rate = stock ka mool.</t>
        </is>
      </c>
      <c r="F123" s="51" t="inlineStr">
        <is>
          <t>Qty×Rate=Stock Value ₹.</t>
        </is>
      </c>
      <c r="G123" s="16" t="inlineStr">
        <is>
          <t>MNC: Inventory valuation — audit.</t>
        </is>
      </c>
    </row>
    <row r="124" ht="52" customHeight="1">
      <c r="A124" s="46" t="inlineStr">
        <is>
          <t>115</t>
        </is>
      </c>
      <c r="B124" s="47">
        <f>SUMIF(B:B,"RM",D:D)</f>
        <v/>
      </c>
      <c r="C124" s="48" t="inlineStr">
        <is>
          <t>RM Stock Value</t>
        </is>
      </c>
      <c r="D124" s="49" t="inlineStr">
        <is>
          <t>Total raw material stock value.</t>
        </is>
      </c>
      <c r="E124" s="49" t="inlineStr">
        <is>
          <t>Sirf RM ka total stock value.</t>
        </is>
      </c>
      <c r="F124" s="50" t="inlineStr">
        <is>
          <t>'SUMIF'=RM filter value sum.</t>
        </is>
      </c>
      <c r="G124" s="10" t="inlineStr">
        <is>
          <t>MNC: Monthly RM inventory valuation.</t>
        </is>
      </c>
    </row>
    <row r="125" ht="52" customHeight="1">
      <c r="A125" s="11" t="inlineStr">
        <is>
          <t>116</t>
        </is>
      </c>
      <c r="B125" s="12">
        <f>COUNTIF(D:D,"Expired")</f>
        <v/>
      </c>
      <c r="C125" s="13" t="inlineStr">
        <is>
          <t>Expired Items</t>
        </is>
      </c>
      <c r="D125" s="14" t="inlineStr">
        <is>
          <t>Count of expired inventory.</t>
        </is>
      </c>
      <c r="E125" s="14" t="inlineStr">
        <is>
          <t>Expired items gino.</t>
        </is>
      </c>
      <c r="F125" s="51" t="inlineStr">
        <is>
          <t>'COUNTIF'=Expired items count.</t>
        </is>
      </c>
      <c r="G125" s="16" t="inlineStr">
        <is>
          <t>MNC: FIFO compliance — expiry check.</t>
        </is>
      </c>
    </row>
    <row r="126" ht="52" customHeight="1">
      <c r="A126" s="46" t="inlineStr">
        <is>
          <t>117</t>
        </is>
      </c>
      <c r="B126" s="47">
        <f>D2/E2</f>
        <v/>
      </c>
      <c r="C126" s="48" t="inlineStr">
        <is>
          <t>Inventory Turnover</t>
        </is>
      </c>
      <c r="D126" s="49" t="inlineStr">
        <is>
          <t>COGS ÷ average inventory.</t>
        </is>
      </c>
      <c r="E126" s="49" t="inlineStr">
        <is>
          <t>Inventory turnover ratio nikalo.</t>
        </is>
      </c>
      <c r="F126" s="50" t="inlineStr">
        <is>
          <t>COGS/Avg Inventory=Turnover.</t>
        </is>
      </c>
      <c r="G126" s="10" t="inlineStr">
        <is>
          <t>MNC: Inventory efficiency KPI.</t>
        </is>
      </c>
    </row>
    <row r="127" ht="52" customHeight="1">
      <c r="A127" s="11" t="inlineStr">
        <is>
          <t>118</t>
        </is>
      </c>
      <c r="B127" s="12">
        <f>IF(D2&gt;E2,"Excess",IF(D2&lt;F2,"Short","Normal"))</f>
        <v/>
      </c>
      <c r="C127" s="13" t="inlineStr">
        <is>
          <t>Stock Status</t>
        </is>
      </c>
      <c r="D127" s="14" t="inlineStr">
        <is>
          <t>Excess/Normal/Short classification.</t>
        </is>
      </c>
      <c r="E127" s="14" t="inlineStr">
        <is>
          <t>Stock level se status label.</t>
        </is>
      </c>
      <c r="F127" s="51" t="inlineStr">
        <is>
          <t>IF=Level check → status.</t>
        </is>
      </c>
      <c r="G127" s="16" t="inlineStr">
        <is>
          <t>MNC: Stock status dashboard.</t>
        </is>
      </c>
    </row>
    <row r="128" ht="52" customHeight="1">
      <c r="A128" s="46" t="inlineStr">
        <is>
          <t>119</t>
        </is>
      </c>
      <c r="B128" s="47">
        <f>VLOOKUP(A2,ItemMaster!A:E,3,0)</f>
        <v/>
      </c>
      <c r="C128" s="48" t="inlineStr">
        <is>
          <t>Item Description</t>
        </is>
      </c>
      <c r="D128" s="49" t="inlineStr">
        <is>
          <t>Fetches item name from master.</t>
        </is>
      </c>
      <c r="E128" s="49" t="inlineStr">
        <is>
          <t>Item code se naam master se lao.</t>
        </is>
      </c>
      <c r="F128" s="50" t="inlineStr">
        <is>
          <t>'VLOOKUP'=Code se naam.</t>
        </is>
      </c>
      <c r="G128" s="10" t="inlineStr">
        <is>
          <t>MNC: GRN/issue slip auto-fill.</t>
        </is>
      </c>
    </row>
    <row r="129" ht="52" customHeight="1">
      <c r="A129" s="11" t="inlineStr">
        <is>
          <t>120</t>
        </is>
      </c>
      <c r="B129" s="12">
        <f>COUNTIF(C:C,"Damage")</f>
        <v/>
      </c>
      <c r="C129" s="13" t="inlineStr">
        <is>
          <t>Damaged Items</t>
        </is>
      </c>
      <c r="D129" s="14" t="inlineStr">
        <is>
          <t>Count of damaged stock items.</t>
        </is>
      </c>
      <c r="E129" s="14" t="inlineStr">
        <is>
          <t>Damaged items gino.</t>
        </is>
      </c>
      <c r="F129" s="51" t="inlineStr">
        <is>
          <t>'COUNTIF'=Damage entries gino.</t>
        </is>
      </c>
      <c r="G129" s="16" t="inlineStr">
        <is>
          <t>MNC: Damage report — insurance claim.</t>
        </is>
      </c>
    </row>
    <row r="130" ht="52" customHeight="1">
      <c r="A130" s="46" t="inlineStr">
        <is>
          <t>121</t>
        </is>
      </c>
      <c r="B130" s="47">
        <f>D2*E2*F2/100</f>
        <v/>
      </c>
      <c r="C130" s="48" t="inlineStr">
        <is>
          <t>Holding Cost ₹</t>
        </is>
      </c>
      <c r="D130" s="49" t="inlineStr">
        <is>
          <t>Stock value × holding cost %.</t>
        </is>
      </c>
      <c r="E130" s="49" t="inlineStr">
        <is>
          <t>Stock ki holding cost nikalo.</t>
        </is>
      </c>
      <c r="F130" s="50" t="inlineStr">
        <is>
          <t>Value×Hold%/100=Holding Cost.</t>
        </is>
      </c>
      <c r="G130" s="10" t="inlineStr">
        <is>
          <t>MNC: Inventory carrying cost calculation.</t>
        </is>
      </c>
    </row>
    <row r="131" ht="52" customHeight="1">
      <c r="A131" s="11" t="inlineStr">
        <is>
          <t>122</t>
        </is>
      </c>
      <c r="B131" s="12">
        <f>SQRT(2*D2*E2/F2)</f>
        <v/>
      </c>
      <c r="C131" s="13" t="inlineStr">
        <is>
          <t>EOQ</t>
        </is>
      </c>
      <c r="D131" s="14" t="inlineStr">
        <is>
          <t>Economic Order Quantity formula.</t>
        </is>
      </c>
      <c r="E131" s="14" t="inlineStr">
        <is>
          <t>Optimal order quantity nikalo — EOQ.</t>
        </is>
      </c>
      <c r="F131" s="51" t="inlineStr">
        <is>
          <t>EOQ=√(2×Demand×OrderCost/HoldCost).</t>
        </is>
      </c>
      <c r="G131" s="16" t="inlineStr">
        <is>
          <t>MNC: Purchase order optimization.</t>
        </is>
      </c>
    </row>
    <row r="132" ht="52" customHeight="1">
      <c r="A132" s="46" t="inlineStr">
        <is>
          <t>123</t>
        </is>
      </c>
      <c r="B132" s="47">
        <f>D2/E2</f>
        <v/>
      </c>
      <c r="C132" s="48" t="inlineStr">
        <is>
          <t>Stock Coverage</t>
        </is>
      </c>
      <c r="D132" s="49" t="inlineStr">
        <is>
          <t>Stock units ÷ daily consumption.</t>
        </is>
      </c>
      <c r="E132" s="49" t="inlineStr">
        <is>
          <t>Stock kitne din ka coverage deta hai.</t>
        </is>
      </c>
      <c r="F132" s="50" t="inlineStr">
        <is>
          <t>Stock/Daily Use=Coverage Days.</t>
        </is>
      </c>
      <c r="G132" s="10" t="inlineStr">
        <is>
          <t>MNC: Stock-out risk assessment.</t>
        </is>
      </c>
    </row>
    <row r="133" ht="52" customHeight="1">
      <c r="A133" s="11" t="inlineStr">
        <is>
          <t>124</t>
        </is>
      </c>
      <c r="B133" s="12">
        <f>SUM(D2:D100)</f>
        <v/>
      </c>
      <c r="C133" s="13" t="inlineStr">
        <is>
          <t>Total Stock Value</t>
        </is>
      </c>
      <c r="D133" s="14" t="inlineStr">
        <is>
          <t>Total value of all inventory.</t>
        </is>
      </c>
      <c r="E133" s="14" t="inlineStr">
        <is>
          <t>Saare items ka total stock value.</t>
        </is>
      </c>
      <c r="F133" s="51" t="inlineStr">
        <is>
          <t>'SUM'=All items stock value.</t>
        </is>
      </c>
      <c r="G133" s="16" t="inlineStr">
        <is>
          <t>MNC: Balance sheet inventory figure.</t>
        </is>
      </c>
    </row>
    <row r="134" ht="52" customHeight="1">
      <c r="A134" s="46" t="inlineStr">
        <is>
          <t>125</t>
        </is>
      </c>
      <c r="B134" s="47">
        <f>COUNTIF(E:E,"A")</f>
        <v/>
      </c>
      <c r="C134" s="48" t="inlineStr">
        <is>
          <t>A-Category Items</t>
        </is>
      </c>
      <c r="D134" s="49" t="inlineStr">
        <is>
          <t>Count of A-category (high value) items.</t>
        </is>
      </c>
      <c r="E134" s="49" t="inlineStr">
        <is>
          <t>High value A category items gino.</t>
        </is>
      </c>
      <c r="F134" s="50" t="inlineStr">
        <is>
          <t>'COUNTIF'=A category count.</t>
        </is>
      </c>
      <c r="G134" s="10" t="inlineStr">
        <is>
          <t>MNC: ABC analysis — critical items.</t>
        </is>
      </c>
    </row>
    <row r="135" ht="52" customHeight="1">
      <c r="A135" s="11" t="inlineStr">
        <is>
          <t>126</t>
        </is>
      </c>
      <c r="B135" s="12">
        <f>D2*E2/F2*100</f>
        <v/>
      </c>
      <c r="C135" s="13" t="inlineStr">
        <is>
          <t>Stock Accuracy %</t>
        </is>
      </c>
      <c r="D135" s="14" t="inlineStr">
        <is>
          <t>Physical count vs system count.</t>
        </is>
      </c>
      <c r="E135" s="14" t="inlineStr">
        <is>
          <t>Physical vs system stock accuracy.</t>
        </is>
      </c>
      <c r="F135" s="51" t="inlineStr">
        <is>
          <t>Physical/System×100=Accuracy %.</t>
        </is>
      </c>
      <c r="G135" s="16" t="inlineStr">
        <is>
          <t>MNC: Annual stock audit accuracy.</t>
        </is>
      </c>
    </row>
    <row r="136" ht="52" customHeight="1">
      <c r="A136" s="46" t="inlineStr">
        <is>
          <t>127</t>
        </is>
      </c>
      <c r="B136" s="47">
        <f>IF(D2/E2*30&lt;F2,"Critical Low","OK")</f>
        <v/>
      </c>
      <c r="C136" s="48" t="inlineStr">
        <is>
          <t>Critical Stock</t>
        </is>
      </c>
      <c r="D136" s="49" t="inlineStr">
        <is>
          <t>Stock below safety stock alert.</t>
        </is>
      </c>
      <c r="E136" s="49" t="inlineStr">
        <is>
          <t>Safety stock se neeche aaya toh critical.</t>
        </is>
      </c>
      <c r="F136" s="50" t="inlineStr">
        <is>
          <t>IF=Safety stock vs current check.</t>
        </is>
      </c>
      <c r="G136" s="10" t="inlineStr">
        <is>
          <t>MNC: Critical inventory alert.</t>
        </is>
      </c>
    </row>
    <row r="137" ht="52" customHeight="1">
      <c r="A137" s="11" t="inlineStr">
        <is>
          <t>128</t>
        </is>
      </c>
      <c r="B137" s="12">
        <f>SUMPRODUCT((B2:B100="Finished Goods")*(D2:D100))</f>
        <v/>
      </c>
      <c r="C137" s="13" t="inlineStr">
        <is>
          <t>FG Stock Value</t>
        </is>
      </c>
      <c r="D137" s="14" t="inlineStr">
        <is>
          <t>Total finished goods inventory value.</t>
        </is>
      </c>
      <c r="E137" s="14" t="inlineStr">
        <is>
          <t>Sirf FG ka total stock value.</t>
        </is>
      </c>
      <c r="F137" s="51" t="inlineStr">
        <is>
          <t>SUMPRODUCT=FG filter value.</t>
        </is>
      </c>
      <c r="G137" s="16" t="inlineStr">
        <is>
          <t>MNC: FG inventory for dispatch planning.</t>
        </is>
      </c>
    </row>
    <row r="138" ht="26" customHeight="1">
      <c r="A138" s="52" t="inlineStr">
        <is>
          <t xml:space="preserve">  ►  7. PURCHASE / PROCUREMENT — Kharid Vibhag</t>
        </is>
      </c>
    </row>
    <row r="139" ht="52" customHeight="1">
      <c r="A139" s="53" t="inlineStr">
        <is>
          <t>129</t>
        </is>
      </c>
      <c r="B139" s="54">
        <f>D2/E2*100</f>
        <v/>
      </c>
      <c r="C139" s="55" t="inlineStr">
        <is>
          <t>Saving %</t>
        </is>
      </c>
      <c r="D139" s="56" t="inlineStr">
        <is>
          <t>Negotiated vs budget price saving.</t>
        </is>
      </c>
      <c r="E139" s="56" t="inlineStr">
        <is>
          <t>Budget se kitna % kam mein purchase.</t>
        </is>
      </c>
      <c r="F139" s="57" t="inlineStr">
        <is>
          <t>(Budget-Actual)/Budget×100=Saving.</t>
        </is>
      </c>
      <c r="G139" s="10" t="inlineStr">
        <is>
          <t>MNC: Procurement cost reduction KPI.</t>
        </is>
      </c>
    </row>
    <row r="140" ht="52" customHeight="1">
      <c r="A140" s="11" t="inlineStr">
        <is>
          <t>130</t>
        </is>
      </c>
      <c r="B140" s="12">
        <f>E2-D2</f>
        <v/>
      </c>
      <c r="C140" s="13" t="inlineStr">
        <is>
          <t>Price Variance</t>
        </is>
      </c>
      <c r="D140" s="14" t="inlineStr">
        <is>
          <t>PO vs invoice price difference.</t>
        </is>
      </c>
      <c r="E140" s="14" t="inlineStr">
        <is>
          <t>PO aur bill mein price farq.</t>
        </is>
      </c>
      <c r="F140" s="58" t="inlineStr">
        <is>
          <t>PO-Invoice=Variance.</t>
        </is>
      </c>
      <c r="G140" s="16" t="inlineStr">
        <is>
          <t>MNC: Three-way matching variance.</t>
        </is>
      </c>
    </row>
    <row r="141" ht="52" customHeight="1">
      <c r="A141" s="53" t="inlineStr">
        <is>
          <t>131</t>
        </is>
      </c>
      <c r="B141" s="54">
        <f>DATEDIF(B2,C2,"D")</f>
        <v/>
      </c>
      <c r="C141" s="55" t="inlineStr">
        <is>
          <t>Lead Time Days</t>
        </is>
      </c>
      <c r="D141" s="56" t="inlineStr">
        <is>
          <t>Order to delivery lead time.</t>
        </is>
      </c>
      <c r="E141" s="56" t="inlineStr">
        <is>
          <t>Order se delivery tak ke din.</t>
        </is>
      </c>
      <c r="F141" s="57" t="inlineStr">
        <is>
          <t>'DATEDIF'=Order to delivery days.</t>
        </is>
      </c>
      <c r="G141" s="10" t="inlineStr">
        <is>
          <t>MNC: Supplier lead time tracking.</t>
        </is>
      </c>
    </row>
    <row r="142" ht="52" customHeight="1">
      <c r="A142" s="11" t="inlineStr">
        <is>
          <t>132</t>
        </is>
      </c>
      <c r="B142" s="12">
        <f>IF(C2&gt;D2,"Delayed","On Time")</f>
        <v/>
      </c>
      <c r="C142" s="13" t="inlineStr">
        <is>
          <t>Delivery Status</t>
        </is>
      </c>
      <c r="D142" s="14" t="inlineStr">
        <is>
          <t>On time or delayed label.</t>
        </is>
      </c>
      <c r="E142" s="14" t="inlineStr">
        <is>
          <t>Delivery on time ya delayed — label.</t>
        </is>
      </c>
      <c r="F142" s="58" t="inlineStr">
        <is>
          <t>IF=Date comparison status.</t>
        </is>
      </c>
      <c r="G142" s="16" t="inlineStr">
        <is>
          <t>MNC: Vendor delivery performance.</t>
        </is>
      </c>
    </row>
    <row r="143" ht="52" customHeight="1">
      <c r="A143" s="53" t="inlineStr">
        <is>
          <t>133</t>
        </is>
      </c>
      <c r="B143" s="54">
        <f>COUNTIF(E:E,"Delayed")/COUNTA(E:E)*100</f>
        <v/>
      </c>
      <c r="C143" s="55" t="inlineStr">
        <is>
          <t>Delay Rate %</t>
        </is>
      </c>
      <c r="D143" s="56" t="inlineStr">
        <is>
          <t>% of delayed deliveries.</t>
        </is>
      </c>
      <c r="E143" s="56" t="inlineStr">
        <is>
          <t>Vendor ki delayed deliveries %.</t>
        </is>
      </c>
      <c r="F143" s="57" t="inlineStr">
        <is>
          <t>Delayed/Total×100=Delay %.</t>
        </is>
      </c>
      <c r="G143" s="10" t="inlineStr">
        <is>
          <t>MNC: Vendor on-time delivery KPI.</t>
        </is>
      </c>
    </row>
    <row r="144" ht="52" customHeight="1">
      <c r="A144" s="11" t="inlineStr">
        <is>
          <t>134</t>
        </is>
      </c>
      <c r="B144" s="12">
        <f>D2*E2</f>
        <v/>
      </c>
      <c r="C144" s="13" t="inlineStr">
        <is>
          <t>PO Value ₹</t>
        </is>
      </c>
      <c r="D144" s="14" t="inlineStr">
        <is>
          <t>Quantity × price = PO value.</t>
        </is>
      </c>
      <c r="E144" s="14" t="inlineStr">
        <is>
          <t>PO total value nikalo.</t>
        </is>
      </c>
      <c r="F144" s="58" t="inlineStr">
        <is>
          <t>Qty×Price=PO Value ₹.</t>
        </is>
      </c>
      <c r="G144" s="16" t="inlineStr">
        <is>
          <t>MNC: Purchase order value.</t>
        </is>
      </c>
    </row>
    <row r="145" ht="52" customHeight="1">
      <c r="A145" s="53" t="inlineStr">
        <is>
          <t>135</t>
        </is>
      </c>
      <c r="B145" s="54">
        <f>SUMIF(B:B,"Q1",D:D)</f>
        <v/>
      </c>
      <c r="C145" s="55" t="inlineStr">
        <is>
          <t>Quarterly Spend</t>
        </is>
      </c>
      <c r="D145" s="56" t="inlineStr">
        <is>
          <t>Total spend in a quarter.</t>
        </is>
      </c>
      <c r="E145" s="56" t="inlineStr">
        <is>
          <t>Quarter mein total spend nikalo.</t>
        </is>
      </c>
      <c r="F145" s="57" t="inlineStr">
        <is>
          <t>'SUMIF'=Quarter filter sum.</t>
        </is>
      </c>
      <c r="G145" s="10" t="inlineStr">
        <is>
          <t>MNC: Quarterly procurement budget.</t>
        </is>
      </c>
    </row>
    <row r="146" ht="52" customHeight="1">
      <c r="A146" s="11" t="inlineStr">
        <is>
          <t>136</t>
        </is>
      </c>
      <c r="B146" s="12">
        <f>RANK(D2,D$2:D$10,1)</f>
        <v/>
      </c>
      <c r="C146" s="13" t="inlineStr">
        <is>
          <t>Quote Ranking</t>
        </is>
      </c>
      <c r="D146" s="14" t="inlineStr">
        <is>
          <t>Lowest to highest price ranking (L1).</t>
        </is>
      </c>
      <c r="E146" s="14" t="inlineStr">
        <is>
          <t>Cheapest quote L1 rank karo.</t>
        </is>
      </c>
      <c r="F146" s="58" t="inlineStr">
        <is>
          <t>'RANK'=Price se rank—cheapest=1.</t>
        </is>
      </c>
      <c r="G146" s="16" t="inlineStr">
        <is>
          <t>MNC: Comparative statement L1/L2/L3.</t>
        </is>
      </c>
    </row>
    <row r="147" ht="52" customHeight="1">
      <c r="A147" s="53" t="inlineStr">
        <is>
          <t>137</t>
        </is>
      </c>
      <c r="B147" s="54">
        <f>VLOOKUP(A2,VendorMaster!A:D,3,0)</f>
        <v/>
      </c>
      <c r="C147" s="55" t="inlineStr">
        <is>
          <t>Vendor Details</t>
        </is>
      </c>
      <c r="D147" s="56" t="inlineStr">
        <is>
          <t>Vendor info from master sheet.</t>
        </is>
      </c>
      <c r="E147" s="56" t="inlineStr">
        <is>
          <t>Vendor code se details fetch karo.</t>
        </is>
      </c>
      <c r="F147" s="57" t="inlineStr">
        <is>
          <t>'VLOOKUP'=Code se vendor info.</t>
        </is>
      </c>
      <c r="G147" s="10" t="inlineStr">
        <is>
          <t>MNC: PO auto-fill vendor details.</t>
        </is>
      </c>
    </row>
    <row r="148" ht="52" customHeight="1">
      <c r="A148" s="11" t="inlineStr">
        <is>
          <t>138</t>
        </is>
      </c>
      <c r="B148" s="12">
        <f>D2+E2</f>
        <v/>
      </c>
      <c r="C148" s="13" t="inlineStr">
        <is>
          <t>Payment Due Date</t>
        </is>
      </c>
      <c r="D148" s="14" t="inlineStr">
        <is>
          <t>Invoice date + payment terms.</t>
        </is>
      </c>
      <c r="E148" s="14" t="inlineStr">
        <is>
          <t>Invoice + payment days = due date.</t>
        </is>
      </c>
      <c r="F148" s="58" t="inlineStr">
        <is>
          <t>Invoice Date+Days=Due Date.</t>
        </is>
      </c>
      <c r="G148" s="16" t="inlineStr">
        <is>
          <t>MNC: Accounts payable due date.</t>
        </is>
      </c>
    </row>
    <row r="149" ht="52" customHeight="1">
      <c r="A149" s="53" t="inlineStr">
        <is>
          <t>139</t>
        </is>
      </c>
      <c r="B149" s="54">
        <f>IF(TODAY()&gt;D2,"Overdue",D2-TODAY()&amp;" days")</f>
        <v/>
      </c>
      <c r="C149" s="55" t="inlineStr">
        <is>
          <t>Payment Alert</t>
        </is>
      </c>
      <c r="D149" s="56" t="inlineStr">
        <is>
          <t>Payment overdue or days remaining.</t>
        </is>
      </c>
      <c r="E149" s="56" t="inlineStr">
        <is>
          <t>Overdue toh flag, warna din batao.</t>
        </is>
      </c>
      <c r="F149" s="57" t="inlineStr">
        <is>
          <t>IF+TODAY=Payment overdue check.</t>
        </is>
      </c>
      <c r="G149" s="10" t="inlineStr">
        <is>
          <t>MNC: Vendor payment monitoring.</t>
        </is>
      </c>
    </row>
    <row r="150" ht="52" customHeight="1">
      <c r="A150" s="11" t="inlineStr">
        <is>
          <t>140</t>
        </is>
      </c>
      <c r="B150" s="12">
        <f>SUMIF(B:B,"Local",D:D)</f>
        <v/>
      </c>
      <c r="C150" s="13" t="inlineStr">
        <is>
          <t>Local vs Import</t>
        </is>
      </c>
      <c r="D150" s="14" t="inlineStr">
        <is>
          <t>Total spend on local vendors.</t>
        </is>
      </c>
      <c r="E150" s="14" t="inlineStr">
        <is>
          <t>Sirf local vendor spend nikalo.</t>
        </is>
      </c>
      <c r="F150" s="58" t="inlineStr">
        <is>
          <t>'SUMIF'=Local filter spend sum.</t>
        </is>
      </c>
      <c r="G150" s="16" t="inlineStr">
        <is>
          <t>MNC: Indigenization % tracking.</t>
        </is>
      </c>
    </row>
    <row r="151" ht="52" customHeight="1">
      <c r="A151" s="53" t="inlineStr">
        <is>
          <t>141</t>
        </is>
      </c>
      <c r="B151" s="54">
        <f>D2/E2*100</f>
        <v/>
      </c>
      <c r="C151" s="55" t="inlineStr">
        <is>
          <t>Indigenization %</t>
        </is>
      </c>
      <c r="D151" s="56" t="inlineStr">
        <is>
          <t>Local procurement as % of total.</t>
        </is>
      </c>
      <c r="E151" s="56" t="inlineStr">
        <is>
          <t>Local purchase ka total % nikalo.</t>
        </is>
      </c>
      <c r="F151" s="57" t="inlineStr">
        <is>
          <t>Local/Total×100=Indigenous %.</t>
        </is>
      </c>
      <c r="G151" s="10" t="inlineStr">
        <is>
          <t>MNC: Make in India — local sourcing KPI.</t>
        </is>
      </c>
    </row>
    <row r="152" ht="52" customHeight="1">
      <c r="A152" s="11" t="inlineStr">
        <is>
          <t>142</t>
        </is>
      </c>
      <c r="B152" s="12">
        <f>COUNTIF(C:C,"Approved")</f>
        <v/>
      </c>
      <c r="C152" s="13" t="inlineStr">
        <is>
          <t>Approved Vendors</t>
        </is>
      </c>
      <c r="D152" s="14" t="inlineStr">
        <is>
          <t>Count of approved vendors.</t>
        </is>
      </c>
      <c r="E152" s="14" t="inlineStr">
        <is>
          <t>Approved vendors kitne hain gino.</t>
        </is>
      </c>
      <c r="F152" s="58" t="inlineStr">
        <is>
          <t>'COUNTIF'=Approved count.</t>
        </is>
      </c>
      <c r="G152" s="16" t="inlineStr">
        <is>
          <t>MNC: Vendor approval database.</t>
        </is>
      </c>
    </row>
    <row r="153" ht="52" customHeight="1">
      <c r="A153" s="53" t="inlineStr">
        <is>
          <t>143</t>
        </is>
      </c>
      <c r="B153" s="54">
        <f>D2/COUNTA(B:B)</f>
        <v/>
      </c>
      <c r="C153" s="55" t="inlineStr">
        <is>
          <t>Avg PO Value</t>
        </is>
      </c>
      <c r="D153" s="56" t="inlineStr">
        <is>
          <t>Average purchase order value.</t>
        </is>
      </c>
      <c r="E153" s="56" t="inlineStr">
        <is>
          <t>Average PO value nikalo.</t>
        </is>
      </c>
      <c r="F153" s="57" t="inlineStr">
        <is>
          <t>Total Value/Count=Avg PO Value.</t>
        </is>
      </c>
      <c r="G153" s="10" t="inlineStr">
        <is>
          <t>MNC: Procurement efficiency analysis.</t>
        </is>
      </c>
    </row>
    <row r="154" ht="52" customHeight="1">
      <c r="A154" s="11" t="inlineStr">
        <is>
          <t>144</t>
        </is>
      </c>
      <c r="B154" s="12">
        <f>SUMIF(B:B,"Capex",D:D)</f>
        <v/>
      </c>
      <c r="C154" s="13" t="inlineStr">
        <is>
          <t>Capex Spend</t>
        </is>
      </c>
      <c r="D154" s="14" t="inlineStr">
        <is>
          <t>Total capital expenditure spend.</t>
        </is>
      </c>
      <c r="E154" s="14" t="inlineStr">
        <is>
          <t>Total Capex purchase nikalo.</t>
        </is>
      </c>
      <c r="F154" s="58" t="inlineStr">
        <is>
          <t>'SUMIF'=Capex filter spend.</t>
        </is>
      </c>
      <c r="G154" s="16" t="inlineStr">
        <is>
          <t>MNC: Capex vs Opex budget tracking.</t>
        </is>
      </c>
    </row>
    <row r="155" ht="52" customHeight="1">
      <c r="A155" s="53" t="inlineStr">
        <is>
          <t>145</t>
        </is>
      </c>
      <c r="B155" s="54">
        <f>IF(D2&gt;=E2,"Budget OK","Over Budget by ₹"&amp;(D2-E2))</f>
        <v/>
      </c>
      <c r="C155" s="55" t="inlineStr">
        <is>
          <t>Budget Check</t>
        </is>
      </c>
      <c r="D155" s="56" t="inlineStr">
        <is>
          <t>Budget vs actual check.</t>
        </is>
      </c>
      <c r="E155" s="56" t="inlineStr">
        <is>
          <t>Budget exceed hua ya nahi.</t>
        </is>
      </c>
      <c r="F155" s="57" t="inlineStr">
        <is>
          <t>IF=Spend vs budget check.</t>
        </is>
      </c>
      <c r="G155" s="10" t="inlineStr">
        <is>
          <t>MNC: Purchase budget control.</t>
        </is>
      </c>
    </row>
    <row r="156" ht="26" customHeight="1">
      <c r="A156" s="59" t="inlineStr">
        <is>
          <t xml:space="preserve">  ►  8. FINANCE &amp; ACCOUNTING — Vitth Vibhag</t>
        </is>
      </c>
    </row>
    <row r="157" ht="52" customHeight="1">
      <c r="A157" s="11" t="inlineStr">
        <is>
          <t>146</t>
        </is>
      </c>
      <c r="B157" s="12">
        <f>SUM(B2:B100)</f>
        <v/>
      </c>
      <c r="C157" s="13" t="inlineStr">
        <is>
          <t>Total Revenue</t>
        </is>
      </c>
      <c r="D157" s="14" t="inlineStr">
        <is>
          <t>Total revenue sum.</t>
        </is>
      </c>
      <c r="E157" s="14" t="inlineStr">
        <is>
          <t>Total sales/revenue nikalo.</t>
        </is>
      </c>
      <c r="F157" s="60" t="inlineStr">
        <is>
          <t>'SUM'=Saari revenue jodo.</t>
        </is>
      </c>
      <c r="G157" s="16" t="inlineStr">
        <is>
          <t>MNC: Monthly P&amp;L revenue line.</t>
        </is>
      </c>
    </row>
    <row r="158" ht="52" customHeight="1">
      <c r="A158" s="19" t="inlineStr">
        <is>
          <t>147</t>
        </is>
      </c>
      <c r="B158" s="20">
        <f>(D2-E2)/E2*100</f>
        <v/>
      </c>
      <c r="C158" s="21" t="inlineStr">
        <is>
          <t>Revenue Growth %</t>
        </is>
      </c>
      <c r="D158" s="22" t="inlineStr">
        <is>
          <t>MoM or YoY growth %.</t>
        </is>
      </c>
      <c r="E158" s="22" t="inlineStr">
        <is>
          <t>Revenue growth % nikalo.</t>
        </is>
      </c>
      <c r="F158" s="61" t="inlineStr">
        <is>
          <t>(New-Old)/Old×100=Growth %.</t>
        </is>
      </c>
      <c r="G158" s="10" t="inlineStr">
        <is>
          <t>MNC: MIS revenue growth tracking.</t>
        </is>
      </c>
    </row>
    <row r="159" ht="52" customHeight="1">
      <c r="A159" s="11" t="inlineStr">
        <is>
          <t>148</t>
        </is>
      </c>
      <c r="B159" s="12">
        <f>(D2-E2)/D2*100</f>
        <v/>
      </c>
      <c r="C159" s="13" t="inlineStr">
        <is>
          <t>Gross Margin %</t>
        </is>
      </c>
      <c r="D159" s="14" t="inlineStr">
        <is>
          <t>Gross profit as % of revenue.</t>
        </is>
      </c>
      <c r="E159" s="14" t="inlineStr">
        <is>
          <t>Gross margin % nikalo.</t>
        </is>
      </c>
      <c r="F159" s="60" t="inlineStr">
        <is>
          <t>(Revenue-COGS)/Revenue×100=GM %.</t>
        </is>
      </c>
      <c r="G159" s="16" t="inlineStr">
        <is>
          <t>MNC: Product profitability analysis.</t>
        </is>
      </c>
    </row>
    <row r="160" ht="52" customHeight="1">
      <c r="A160" s="19" t="inlineStr">
        <is>
          <t>149</t>
        </is>
      </c>
      <c r="B160" s="20">
        <f>D2*0.18</f>
        <v/>
      </c>
      <c r="C160" s="21" t="inlineStr">
        <is>
          <t>GST 18%</t>
        </is>
      </c>
      <c r="D160" s="22" t="inlineStr">
        <is>
          <t>18% GST on base amount.</t>
        </is>
      </c>
      <c r="E160" s="22" t="inlineStr">
        <is>
          <t>18% GST nikalo.</t>
        </is>
      </c>
      <c r="F160" s="61" t="inlineStr">
        <is>
          <t>Amount×18%=GST.</t>
        </is>
      </c>
      <c r="G160" s="10" t="inlineStr">
        <is>
          <t>MNC: Invoice GST calculation.</t>
        </is>
      </c>
    </row>
    <row r="161" ht="52" customHeight="1">
      <c r="A161" s="11" t="inlineStr">
        <is>
          <t>150</t>
        </is>
      </c>
      <c r="B161" s="12">
        <f>D2*0.12</f>
        <v/>
      </c>
      <c r="C161" s="13" t="inlineStr">
        <is>
          <t>GST 12%</t>
        </is>
      </c>
      <c r="D161" s="14" t="inlineStr">
        <is>
          <t>12% GST on base amount.</t>
        </is>
      </c>
      <c r="E161" s="14" t="inlineStr">
        <is>
          <t>12% GST nikalo.</t>
        </is>
      </c>
      <c r="F161" s="60" t="inlineStr">
        <is>
          <t>Amount×12%=GST.</t>
        </is>
      </c>
      <c r="G161" s="16" t="inlineStr">
        <is>
          <t>MNC: Reduced rate GST items.</t>
        </is>
      </c>
    </row>
    <row r="162" ht="52" customHeight="1">
      <c r="A162" s="19" t="inlineStr">
        <is>
          <t>151</t>
        </is>
      </c>
      <c r="B162" s="20">
        <f>D2*0.05</f>
        <v/>
      </c>
      <c r="C162" s="21" t="inlineStr">
        <is>
          <t>GST 5%</t>
        </is>
      </c>
      <c r="D162" s="22" t="inlineStr">
        <is>
          <t>5% GST on base amount.</t>
        </is>
      </c>
      <c r="E162" s="22" t="inlineStr">
        <is>
          <t>5% GST nikalo.</t>
        </is>
      </c>
      <c r="F162" s="61" t="inlineStr">
        <is>
          <t>Amount×5%=GST.</t>
        </is>
      </c>
      <c r="G162" s="10" t="inlineStr">
        <is>
          <t>MNC: Essential items GST.</t>
        </is>
      </c>
    </row>
    <row r="163" ht="52" customHeight="1">
      <c r="A163" s="11" t="inlineStr">
        <is>
          <t>152</t>
        </is>
      </c>
      <c r="B163" s="12">
        <f>D2+(D2*0.18)</f>
        <v/>
      </c>
      <c r="C163" s="13" t="inlineStr">
        <is>
          <t>Total with GST</t>
        </is>
      </c>
      <c r="D163" s="14" t="inlineStr">
        <is>
          <t>Base + 18% GST = total invoice.</t>
        </is>
      </c>
      <c r="E163" s="14" t="inlineStr">
        <is>
          <t>Amount + GST = total payable.</t>
        </is>
      </c>
      <c r="F163" s="60" t="inlineStr">
        <is>
          <t>Amount+GST=Total Invoice.</t>
        </is>
      </c>
      <c r="G163" s="16" t="inlineStr">
        <is>
          <t>MNC: Client invoice total.</t>
        </is>
      </c>
    </row>
    <row r="164" ht="52" customHeight="1">
      <c r="A164" s="19" t="inlineStr">
        <is>
          <t>153</t>
        </is>
      </c>
      <c r="B164" s="20">
        <f>PMT(B2/12,C2*12,-D2)</f>
        <v/>
      </c>
      <c r="C164" s="21" t="inlineStr">
        <is>
          <t>EMI Calculation</t>
        </is>
      </c>
      <c r="D164" s="22" t="inlineStr">
        <is>
          <t>Monthly loan EMI.</t>
        </is>
      </c>
      <c r="E164" s="22" t="inlineStr">
        <is>
          <t>Loan ka monthly EMI nikalo.</t>
        </is>
      </c>
      <c r="F164" s="61" t="inlineStr">
        <is>
          <t>'PMT'=Monthly payment/kist.</t>
        </is>
      </c>
      <c r="G164" s="10" t="inlineStr">
        <is>
          <t>MNC: Equipment/vehicle EMI.</t>
        </is>
      </c>
    </row>
    <row r="165" ht="52" customHeight="1">
      <c r="A165" s="11" t="inlineStr">
        <is>
          <t>154</t>
        </is>
      </c>
      <c r="B165" s="12">
        <f>IPMT(B2/12,D2,C2*12,-E2)</f>
        <v/>
      </c>
      <c r="C165" s="13" t="inlineStr">
        <is>
          <t>Interest Component</t>
        </is>
      </c>
      <c r="D165" s="14" t="inlineStr">
        <is>
          <t>Interest part of EMI for period N.</t>
        </is>
      </c>
      <c r="E165" s="14" t="inlineStr">
        <is>
          <t>EMI mein interest kitna hai nikalo.</t>
        </is>
      </c>
      <c r="F165" s="60" t="inlineStr">
        <is>
          <t>'IPMT'=EMI ka interest part.</t>
        </is>
      </c>
      <c r="G165" s="16" t="inlineStr">
        <is>
          <t>MNC: Loan amortization — interest.</t>
        </is>
      </c>
    </row>
    <row r="166" ht="52" customHeight="1">
      <c r="A166" s="19" t="inlineStr">
        <is>
          <t>155</t>
        </is>
      </c>
      <c r="B166" s="20">
        <f>PPMT(B2/12,D2,C2*12,-E2)</f>
        <v/>
      </c>
      <c r="C166" s="21" t="inlineStr">
        <is>
          <t>Principal Component</t>
        </is>
      </c>
      <c r="D166" s="22" t="inlineStr">
        <is>
          <t>Principal part of EMI for period N.</t>
        </is>
      </c>
      <c r="E166" s="22" t="inlineStr">
        <is>
          <t>EMI mein principal kitna hai.</t>
        </is>
      </c>
      <c r="F166" s="61" t="inlineStr">
        <is>
          <t>'PPMT'=EMI ka principal part.</t>
        </is>
      </c>
      <c r="G166" s="10" t="inlineStr">
        <is>
          <t>MNC: Loan amortization — principal.</t>
        </is>
      </c>
    </row>
    <row r="167" ht="52" customHeight="1">
      <c r="A167" s="11" t="inlineStr">
        <is>
          <t>156</t>
        </is>
      </c>
      <c r="B167" s="12">
        <f>FV(D2/12,E2*12,-F2)</f>
        <v/>
      </c>
      <c r="C167" s="13" t="inlineStr">
        <is>
          <t>Future Value</t>
        </is>
      </c>
      <c r="D167" s="14" t="inlineStr">
        <is>
          <t>Future value of investment/SIP.</t>
        </is>
      </c>
      <c r="E167" s="14" t="inlineStr">
        <is>
          <t>Investment ki future value nikalo.</t>
        </is>
      </c>
      <c r="F167" s="60" t="inlineStr">
        <is>
          <t>'FV'=Future Value — return projection.</t>
        </is>
      </c>
      <c r="G167" s="16" t="inlineStr">
        <is>
          <t>MNC: Capex planning — ROI projection.</t>
        </is>
      </c>
    </row>
    <row r="168" ht="52" customHeight="1">
      <c r="A168" s="19" t="inlineStr">
        <is>
          <t>157</t>
        </is>
      </c>
      <c r="B168" s="20">
        <f>NPV(D2,E2:E10)</f>
        <v/>
      </c>
      <c r="C168" s="21" t="inlineStr">
        <is>
          <t>Net Present Value</t>
        </is>
      </c>
      <c r="D168" s="22" t="inlineStr">
        <is>
          <t>Investment NPV calculation.</t>
        </is>
      </c>
      <c r="E168" s="22" t="inlineStr">
        <is>
          <t>Investment ka NPV nikalo.</t>
        </is>
      </c>
      <c r="F168" s="61" t="inlineStr">
        <is>
          <t>'NPV'=Net Present Value.</t>
        </is>
      </c>
      <c r="G168" s="10" t="inlineStr">
        <is>
          <t>MNC: Project/capex approval decision.</t>
        </is>
      </c>
    </row>
    <row r="169" ht="52" customHeight="1">
      <c r="A169" s="11" t="inlineStr">
        <is>
          <t>158</t>
        </is>
      </c>
      <c r="B169" s="12">
        <f>IRR(D2:D10)</f>
        <v/>
      </c>
      <c r="C169" s="13" t="inlineStr">
        <is>
          <t>Internal Rate Return</t>
        </is>
      </c>
      <c r="D169" s="14" t="inlineStr">
        <is>
          <t>IRR of cash flow series.</t>
        </is>
      </c>
      <c r="E169" s="14" t="inlineStr">
        <is>
          <t>Investment ka IRR nikalo.</t>
        </is>
      </c>
      <c r="F169" s="60" t="inlineStr">
        <is>
          <t>'IRR'=Internal Rate of Return.</t>
        </is>
      </c>
      <c r="G169" s="16" t="inlineStr">
        <is>
          <t>MNC: Project viability check.</t>
        </is>
      </c>
    </row>
    <row r="170" ht="52" customHeight="1">
      <c r="A170" s="19" t="inlineStr">
        <is>
          <t>159</t>
        </is>
      </c>
      <c r="B170" s="20">
        <f>D2/E2*100</f>
        <v/>
      </c>
      <c r="C170" s="21" t="inlineStr">
        <is>
          <t>Budget Util %</t>
        </is>
      </c>
      <c r="D170" s="22" t="inlineStr">
        <is>
          <t>Actual spend as % of budget.</t>
        </is>
      </c>
      <c r="E170" s="22" t="inlineStr">
        <is>
          <t>Budget ka % use hua nikalo.</t>
        </is>
      </c>
      <c r="F170" s="61" t="inlineStr">
        <is>
          <t>Actual/Budget×100=Util %.</t>
        </is>
      </c>
      <c r="G170" s="10" t="inlineStr">
        <is>
          <t>MNC: Department budget control.</t>
        </is>
      </c>
    </row>
    <row r="171" ht="52" customHeight="1">
      <c r="A171" s="11" t="inlineStr">
        <is>
          <t>160</t>
        </is>
      </c>
      <c r="B171" s="12">
        <f>ROUND(D2*1.1,0)</f>
        <v/>
      </c>
      <c r="C171" s="13" t="inlineStr">
        <is>
          <t>10% Increment</t>
        </is>
      </c>
      <c r="D171" s="14" t="inlineStr">
        <is>
          <t>10% hike on salary/price.</t>
        </is>
      </c>
      <c r="E171" s="14" t="inlineStr">
        <is>
          <t>10% increment apply karo.</t>
        </is>
      </c>
      <c r="F171" s="60" t="inlineStr">
        <is>
          <t>Amount×1.1=10% increased amount.</t>
        </is>
      </c>
      <c r="G171" s="16" t="inlineStr">
        <is>
          <t>MNC: Annual salary revision.</t>
        </is>
      </c>
    </row>
    <row r="172" ht="52" customHeight="1">
      <c r="A172" s="19" t="inlineStr">
        <is>
          <t>161</t>
        </is>
      </c>
      <c r="B172" s="20">
        <f>D2*E2/365</f>
        <v/>
      </c>
      <c r="C172" s="21" t="inlineStr">
        <is>
          <t>Daily Interest</t>
        </is>
      </c>
      <c r="D172" s="22" t="inlineStr">
        <is>
          <t>Annual interest × days = accrued.</t>
        </is>
      </c>
      <c r="E172" s="22" t="inlineStr">
        <is>
          <t>Roz ka interest accrual nikalo.</t>
        </is>
      </c>
      <c r="F172" s="61" t="inlineStr">
        <is>
          <t>Annual Rate×Days/365=Daily Int.</t>
        </is>
      </c>
      <c r="G172" s="10" t="inlineStr">
        <is>
          <t>MNC: Interest accrual accounting.</t>
        </is>
      </c>
    </row>
    <row r="173" ht="52" customHeight="1">
      <c r="A173" s="11" t="inlineStr">
        <is>
          <t>162</t>
        </is>
      </c>
      <c r="B173" s="12">
        <f>SUMIFS(D:D,B:B,"Sales",C:C,"Q1")</f>
        <v/>
      </c>
      <c r="C173" s="13" t="inlineStr">
        <is>
          <t>Dept Quarter Sum</t>
        </is>
      </c>
      <c r="D173" s="14" t="inlineStr">
        <is>
          <t>Department + quarter spend.</t>
        </is>
      </c>
      <c r="E173" s="14" t="inlineStr">
        <is>
          <t>Dept + quarter filter sum.</t>
        </is>
      </c>
      <c r="F173" s="60" t="inlineStr">
        <is>
          <t>'SUMIFS'=Multiple filter sum.</t>
        </is>
      </c>
      <c r="G173" s="16" t="inlineStr">
        <is>
          <t>MNC: Cost center quarterly report.</t>
        </is>
      </c>
    </row>
    <row r="174" ht="52" customHeight="1">
      <c r="A174" s="19" t="inlineStr">
        <is>
          <t>163</t>
        </is>
      </c>
      <c r="B174" s="20">
        <f>D2/SUMIF(B:B,B2,D:D)*100</f>
        <v/>
      </c>
      <c r="C174" s="21" t="inlineStr">
        <is>
          <t>Category Share %</t>
        </is>
      </c>
      <c r="D174" s="22" t="inlineStr">
        <is>
          <t>Item as % of category total.</t>
        </is>
      </c>
      <c r="E174" s="22" t="inlineStr">
        <is>
          <t>Category mein item ka % share.</t>
        </is>
      </c>
      <c r="F174" s="61" t="inlineStr">
        <is>
          <t>Item/Category Total×100=Share %.</t>
        </is>
      </c>
      <c r="G174" s="10" t="inlineStr">
        <is>
          <t>MNC: Revenue/cost mix analysis.</t>
        </is>
      </c>
    </row>
    <row r="175" ht="52" customHeight="1">
      <c r="A175" s="11" t="inlineStr">
        <is>
          <t>164</t>
        </is>
      </c>
      <c r="B175" s="12">
        <f>IF(D2&gt;0,"Profit",IF(D2&lt;0,"Loss","Breakeven"))</f>
        <v/>
      </c>
      <c r="C175" s="13" t="inlineStr">
        <is>
          <t>P&amp;L Status</t>
        </is>
      </c>
      <c r="D175" s="14" t="inlineStr">
        <is>
          <t>Profit/Loss/Breakeven label.</t>
        </is>
      </c>
      <c r="E175" s="14" t="inlineStr">
        <is>
          <t>Profit, loss ya breakeven label.</t>
        </is>
      </c>
      <c r="F175" s="60" t="inlineStr">
        <is>
          <t>IF=Value se P&amp;L status.</t>
        </is>
      </c>
      <c r="G175" s="16" t="inlineStr">
        <is>
          <t>MNC: Monthly P&amp;L result label.</t>
        </is>
      </c>
    </row>
    <row r="176" ht="52" customHeight="1">
      <c r="A176" s="19" t="inlineStr">
        <is>
          <t>165</t>
        </is>
      </c>
      <c r="B176" s="20">
        <f>ABS(D2-E2)</f>
        <v/>
      </c>
      <c r="C176" s="21" t="inlineStr">
        <is>
          <t>Absolute Variance</t>
        </is>
      </c>
      <c r="D176" s="22" t="inlineStr">
        <is>
          <t>Absolute difference regardless of sign.</t>
        </is>
      </c>
      <c r="E176" s="22" t="inlineStr">
        <is>
          <t>Variance ka absolute value nikalo.</t>
        </is>
      </c>
      <c r="F176" s="61" t="inlineStr">
        <is>
          <t>'ABS'=Always positive difference.</t>
        </is>
      </c>
      <c r="G176" s="10" t="inlineStr">
        <is>
          <t>MNC: Budget vs actual absolute gap.</t>
        </is>
      </c>
    </row>
    <row r="177" ht="52" customHeight="1">
      <c r="A177" s="11" t="inlineStr">
        <is>
          <t>166</t>
        </is>
      </c>
      <c r="B177" s="12">
        <f>D2/E2</f>
        <v/>
      </c>
      <c r="C177" s="13" t="inlineStr">
        <is>
          <t>Debt/Equity Ratio</t>
        </is>
      </c>
      <c r="D177" s="14" t="inlineStr">
        <is>
          <t>Debt divided by equity.</t>
        </is>
      </c>
      <c r="E177" s="14" t="inlineStr">
        <is>
          <t>Debt to equity ratio nikalo.</t>
        </is>
      </c>
      <c r="F177" s="60" t="inlineStr">
        <is>
          <t>Debt/Equity=D/E Ratio.</t>
        </is>
      </c>
      <c r="G177" s="16" t="inlineStr">
        <is>
          <t>MNC: Financial health ratio.</t>
        </is>
      </c>
    </row>
    <row r="178" ht="52" customHeight="1">
      <c r="A178" s="19" t="inlineStr">
        <is>
          <t>167</t>
        </is>
      </c>
      <c r="B178" s="20">
        <f>D2/E2</f>
        <v/>
      </c>
      <c r="C178" s="21" t="inlineStr">
        <is>
          <t>Current Ratio</t>
        </is>
      </c>
      <c r="D178" s="22" t="inlineStr">
        <is>
          <t>Current assets ÷ current liabilities.</t>
        </is>
      </c>
      <c r="E178" s="22" t="inlineStr">
        <is>
          <t>Current ratio nikalo — liquidity.</t>
        </is>
      </c>
      <c r="F178" s="61" t="inlineStr">
        <is>
          <t>Current Assets/Liabilities=Ratio.</t>
        </is>
      </c>
      <c r="G178" s="10" t="inlineStr">
        <is>
          <t>MNC: Liquidity analysis.</t>
        </is>
      </c>
    </row>
    <row r="179" ht="52" customHeight="1">
      <c r="A179" s="11" t="inlineStr">
        <is>
          <t>168</t>
        </is>
      </c>
      <c r="B179" s="12">
        <f>D2*12</f>
        <v/>
      </c>
      <c r="C179" s="13" t="inlineStr">
        <is>
          <t>Monthly to Annual</t>
        </is>
      </c>
      <c r="D179" s="14" t="inlineStr">
        <is>
          <t>Monthly figure × 12 = annual.</t>
        </is>
      </c>
      <c r="E179" s="14" t="inlineStr">
        <is>
          <t>Monthly value × 12 = saal ka total.</t>
        </is>
      </c>
      <c r="F179" s="60" t="inlineStr">
        <is>
          <t>Monthly×12=Annual.</t>
        </is>
      </c>
      <c r="G179" s="16" t="inlineStr">
        <is>
          <t>MNC: Annualized revenue/cost.</t>
        </is>
      </c>
    </row>
    <row r="180" ht="26" customHeight="1">
      <c r="A180" s="62" t="inlineStr">
        <is>
          <t xml:space="preserve">  ►  9. HR &amp; PAYROLL — Manav Sansadhan Vibhag</t>
        </is>
      </c>
    </row>
    <row r="181" ht="52" customHeight="1">
      <c r="A181" s="5" t="inlineStr">
        <is>
          <t>169</t>
        </is>
      </c>
      <c r="B181" s="6">
        <f>DATEDIF(B2,TODAY(),"Y")&amp;" Yrs "&amp;DATEDIF(B2,TODAY(),"YM")&amp;" Months"</f>
        <v/>
      </c>
      <c r="C181" s="7" t="inlineStr">
        <is>
          <t>Tenure</t>
        </is>
      </c>
      <c r="D181" s="8" t="inlineStr">
        <is>
          <t>Exact service tenure.</t>
        </is>
      </c>
      <c r="E181" s="8" t="inlineStr">
        <is>
          <t>Employee tenure auto-calculate.</t>
        </is>
      </c>
      <c r="F181" s="63" t="inlineStr">
        <is>
          <t>DATEDIF=Saal+Mahine.</t>
        </is>
      </c>
      <c r="G181" s="10" t="inlineStr">
        <is>
          <t>MNC: HR records service tenure.</t>
        </is>
      </c>
    </row>
    <row r="182" ht="52" customHeight="1">
      <c r="A182" s="11" t="inlineStr">
        <is>
          <t>170</t>
        </is>
      </c>
      <c r="B182" s="12">
        <f>IF(DATEDIF(B2,TODAY(),"Y")&gt;=1,"Eligible","Not Eligible")</f>
        <v/>
      </c>
      <c r="C182" s="13" t="inlineStr">
        <is>
          <t>Bonus Eligible</t>
        </is>
      </c>
      <c r="D182" s="14" t="inlineStr">
        <is>
          <t>1-year eligibility check.</t>
        </is>
      </c>
      <c r="E182" s="14" t="inlineStr">
        <is>
          <t>Bonus eligible hai ya nahi.</t>
        </is>
      </c>
      <c r="F182" s="64" t="inlineStr">
        <is>
          <t>IF+DATEDIF=1 year check.</t>
        </is>
      </c>
      <c r="G182" s="16" t="inlineStr">
        <is>
          <t>MNC: Bonus eligibility filter.</t>
        </is>
      </c>
    </row>
    <row r="183" ht="52" customHeight="1">
      <c r="A183" s="5" t="inlineStr">
        <is>
          <t>171</t>
        </is>
      </c>
      <c r="B183" s="6">
        <f>COUNTIF(D2:D31,"Present")</f>
        <v/>
      </c>
      <c r="C183" s="7" t="inlineStr">
        <is>
          <t>Present Days</t>
        </is>
      </c>
      <c r="D183" s="8" t="inlineStr">
        <is>
          <t>Monthly present day count.</t>
        </is>
      </c>
      <c r="E183" s="8" t="inlineStr">
        <is>
          <t>Mahine mein present din gino.</t>
        </is>
      </c>
      <c r="F183" s="63" t="inlineStr">
        <is>
          <t>'COUNTIF'=Present days count.</t>
        </is>
      </c>
      <c r="G183" s="10" t="inlineStr">
        <is>
          <t>MNC: Attendance — payroll input.</t>
        </is>
      </c>
    </row>
    <row r="184" ht="52" customHeight="1">
      <c r="A184" s="11" t="inlineStr">
        <is>
          <t>172</t>
        </is>
      </c>
      <c r="B184" s="12">
        <f>COUNTIF(D2:D31,"Absent")</f>
        <v/>
      </c>
      <c r="C184" s="13" t="inlineStr">
        <is>
          <t>Absent Days</t>
        </is>
      </c>
      <c r="D184" s="14" t="inlineStr">
        <is>
          <t>Monthly absent day count.</t>
        </is>
      </c>
      <c r="E184" s="14" t="inlineStr">
        <is>
          <t>Mahine mein absent din gino.</t>
        </is>
      </c>
      <c r="F184" s="64" t="inlineStr">
        <is>
          <t>'COUNTIF'=Absent days count.</t>
        </is>
      </c>
      <c r="G184" s="16" t="inlineStr">
        <is>
          <t>MNC: Deduction basis — payroll.</t>
        </is>
      </c>
    </row>
    <row r="185" ht="52" customHeight="1">
      <c r="A185" s="5" t="inlineStr">
        <is>
          <t>173</t>
        </is>
      </c>
      <c r="B185" s="6">
        <f>COUNTIF(D2:D31,"Half Day")</f>
        <v/>
      </c>
      <c r="C185" s="7" t="inlineStr">
        <is>
          <t>Half Days</t>
        </is>
      </c>
      <c r="D185" s="8" t="inlineStr">
        <is>
          <t>Count of half-day attendances.</t>
        </is>
      </c>
      <c r="E185" s="8" t="inlineStr">
        <is>
          <t>Half days kitne the gino.</t>
        </is>
      </c>
      <c r="F185" s="63" t="inlineStr">
        <is>
          <t>'COUNTIF'=Half day count.</t>
        </is>
      </c>
      <c r="G185" s="10" t="inlineStr">
        <is>
          <t>MNC: Half-day deduction payroll.</t>
        </is>
      </c>
    </row>
    <row r="186" ht="52" customHeight="1">
      <c r="A186" s="11" t="inlineStr">
        <is>
          <t>174</t>
        </is>
      </c>
      <c r="B186" s="12">
        <f>E2/26*COUNTIF(D2:D31,"Absent")</f>
        <v/>
      </c>
      <c r="C186" s="13" t="inlineStr">
        <is>
          <t>Salary Deduction</t>
        </is>
      </c>
      <c r="D186" s="14" t="inlineStr">
        <is>
          <t>Absent-day salary deduction.</t>
        </is>
      </c>
      <c r="E186" s="14" t="inlineStr">
        <is>
          <t>Absent days ka deduction nikalo.</t>
        </is>
      </c>
      <c r="F186" s="64" t="inlineStr">
        <is>
          <t>Salary/26×Absent=Deduction.</t>
        </is>
      </c>
      <c r="G186" s="16" t="inlineStr">
        <is>
          <t>MNC: Payroll — per day deduction.</t>
        </is>
      </c>
    </row>
    <row r="187" ht="52" customHeight="1">
      <c r="A187" s="5" t="inlineStr">
        <is>
          <t>175</t>
        </is>
      </c>
      <c r="B187" s="6">
        <f>E2*0.12</f>
        <v/>
      </c>
      <c r="C187" s="7" t="inlineStr">
        <is>
          <t>PF Deduction</t>
        </is>
      </c>
      <c r="D187" s="8" t="inlineStr">
        <is>
          <t>12% PF from basic salary.</t>
        </is>
      </c>
      <c r="E187" s="8" t="inlineStr">
        <is>
          <t>12% PF nikalo.</t>
        </is>
      </c>
      <c r="F187" s="63" t="inlineStr">
        <is>
          <t>Basic×12%=PF Amount.</t>
        </is>
      </c>
      <c r="G187" s="10" t="inlineStr">
        <is>
          <t>MNC: Payroll PF deduction.</t>
        </is>
      </c>
    </row>
    <row r="188" ht="52" customHeight="1">
      <c r="A188" s="11" t="inlineStr">
        <is>
          <t>176</t>
        </is>
      </c>
      <c r="B188" s="12">
        <f>E2*0.02</f>
        <v/>
      </c>
      <c r="C188" s="13" t="inlineStr">
        <is>
          <t>ESIC Deduction</t>
        </is>
      </c>
      <c r="D188" s="14" t="inlineStr">
        <is>
          <t>2% ESIC on gross salary.</t>
        </is>
      </c>
      <c r="E188" s="14" t="inlineStr">
        <is>
          <t>2% ESIC nikalo.</t>
        </is>
      </c>
      <c r="F188" s="64" t="inlineStr">
        <is>
          <t>Gross×2%=ESIC Amount.</t>
        </is>
      </c>
      <c r="G188" s="16" t="inlineStr">
        <is>
          <t>MNC: Payroll ESIC for eligible emps.</t>
        </is>
      </c>
    </row>
    <row r="189" ht="52" customHeight="1">
      <c r="A189" s="5" t="inlineStr">
        <is>
          <t>177</t>
        </is>
      </c>
      <c r="B189" s="6">
        <f>E2+F2+G2</f>
        <v/>
      </c>
      <c r="C189" s="7" t="inlineStr">
        <is>
          <t>Gross Salary</t>
        </is>
      </c>
      <c r="D189" s="8" t="inlineStr">
        <is>
          <t>Basic + HRA + other allowances.</t>
        </is>
      </c>
      <c r="E189" s="8" t="inlineStr">
        <is>
          <t>Basic + HRA + allowances = gross.</t>
        </is>
      </c>
      <c r="F189" s="63" t="inlineStr">
        <is>
          <t>Basic+HRA+Allowances=Gross.</t>
        </is>
      </c>
      <c r="G189" s="10" t="inlineStr">
        <is>
          <t>MNC: Salary slip gross calculation.</t>
        </is>
      </c>
    </row>
    <row r="190" ht="52" customHeight="1">
      <c r="A190" s="11" t="inlineStr">
        <is>
          <t>178</t>
        </is>
      </c>
      <c r="B190" s="12">
        <f>E2+F2-G2-H2-I2</f>
        <v/>
      </c>
      <c r="C190" s="13" t="inlineStr">
        <is>
          <t>Net Salary</t>
        </is>
      </c>
      <c r="D190" s="14" t="inlineStr">
        <is>
          <t>Gross + allowances - deductions.</t>
        </is>
      </c>
      <c r="E190" s="14" t="inlineStr">
        <is>
          <t>Net salary auto-calculate karo.</t>
        </is>
      </c>
      <c r="F190" s="64" t="inlineStr">
        <is>
          <t>Gross-PF-ESIC-TDS=Net Pay.</t>
        </is>
      </c>
      <c r="G190" s="16" t="inlineStr">
        <is>
          <t>MNC: Monthly take-home salary.</t>
        </is>
      </c>
    </row>
    <row r="191" ht="52" customHeight="1">
      <c r="A191" s="5" t="inlineStr">
        <is>
          <t>179</t>
        </is>
      </c>
      <c r="B191" s="6">
        <f>D2*E2/100</f>
        <v/>
      </c>
      <c r="C191" s="7" t="inlineStr">
        <is>
          <t>Increment Amount</t>
        </is>
      </c>
      <c r="D191" s="8" t="inlineStr">
        <is>
          <t>Salary × increment % = amount.</t>
        </is>
      </c>
      <c r="E191" s="8" t="inlineStr">
        <is>
          <t>Increment rupay mein nikalo.</t>
        </is>
      </c>
      <c r="F191" s="63" t="inlineStr">
        <is>
          <t>Salary×%/100=Increment ₹.</t>
        </is>
      </c>
      <c r="G191" s="10" t="inlineStr">
        <is>
          <t>MNC: Annual increment calculation.</t>
        </is>
      </c>
    </row>
    <row r="192" ht="52" customHeight="1">
      <c r="A192" s="11" t="inlineStr">
        <is>
          <t>180</t>
        </is>
      </c>
      <c r="B192" s="12">
        <f>E2+D2*E2/100</f>
        <v/>
      </c>
      <c r="C192" s="13" t="inlineStr">
        <is>
          <t>Revised Salary</t>
        </is>
      </c>
      <c r="D192" s="14" t="inlineStr">
        <is>
          <t>Current salary + increment amount.</t>
        </is>
      </c>
      <c r="E192" s="14" t="inlineStr">
        <is>
          <t>Revised salary auto-calculate.</t>
        </is>
      </c>
      <c r="F192" s="64" t="inlineStr">
        <is>
          <t>Current+Increment=Revised.</t>
        </is>
      </c>
      <c r="G192" s="16" t="inlineStr">
        <is>
          <t>MNC: Appraisal revised CTC.</t>
        </is>
      </c>
    </row>
    <row r="193" ht="52" customHeight="1">
      <c r="A193" s="5" t="inlineStr">
        <is>
          <t>181</t>
        </is>
      </c>
      <c r="B193" s="6">
        <f>IFS(D2&gt;=95,"Outstanding",D2&gt;=85,"Excellent",D2&gt;=75,"Good",D2&gt;=60,"Average",TRUE,"Poor")</f>
        <v/>
      </c>
      <c r="C193" s="7" t="inlineStr">
        <is>
          <t>Appraisal Grade</t>
        </is>
      </c>
      <c r="D193" s="8" t="inlineStr">
        <is>
          <t>Performance grade from KPI score.</t>
        </is>
      </c>
      <c r="E193" s="8" t="inlineStr">
        <is>
          <t>KPI score se appraisal grade.</t>
        </is>
      </c>
      <c r="F193" s="63" t="inlineStr">
        <is>
          <t>'IFS'=Score se grade assign.</t>
        </is>
      </c>
      <c r="G193" s="10" t="inlineStr">
        <is>
          <t>MNC: Annual appraisal grading.</t>
        </is>
      </c>
    </row>
    <row r="194" ht="52" customHeight="1">
      <c r="A194" s="11" t="inlineStr">
        <is>
          <t>182</t>
        </is>
      </c>
      <c r="B194" s="12">
        <f>RANK(D2,D$2:D$50,0)</f>
        <v/>
      </c>
      <c r="C194" s="13" t="inlineStr">
        <is>
          <t>Performance Rank</t>
        </is>
      </c>
      <c r="D194" s="14" t="inlineStr">
        <is>
          <t>Ranks employees by score.</t>
        </is>
      </c>
      <c r="E194" s="14" t="inlineStr">
        <is>
          <t>Score se employee rank.</t>
        </is>
      </c>
      <c r="F194" s="64" t="inlineStr">
        <is>
          <t>'RANK'=Performance rank.</t>
        </is>
      </c>
      <c r="G194" s="16" t="inlineStr">
        <is>
          <t>MNC: Top performer identification.</t>
        </is>
      </c>
    </row>
    <row r="195" ht="52" customHeight="1">
      <c r="A195" s="5" t="inlineStr">
        <is>
          <t>183</t>
        </is>
      </c>
      <c r="B195" s="6">
        <f>NETWORKDAYS(B2,C2)</f>
        <v/>
      </c>
      <c r="C195" s="7" t="inlineStr">
        <is>
          <t>Working Days</t>
        </is>
      </c>
      <c r="D195" s="8" t="inlineStr">
        <is>
          <t>Working days between dates.</t>
        </is>
      </c>
      <c r="E195" s="8" t="inlineStr">
        <is>
          <t>Do dates ke beech working days.</t>
        </is>
      </c>
      <c r="F195" s="63" t="inlineStr">
        <is>
          <t>'NETWORKDAYS'=Weekends chhod.</t>
        </is>
      </c>
      <c r="G195" s="10" t="inlineStr">
        <is>
          <t>MNC: Leave/project working days.</t>
        </is>
      </c>
    </row>
    <row r="196" ht="52" customHeight="1">
      <c r="A196" s="11" t="inlineStr">
        <is>
          <t>184</t>
        </is>
      </c>
      <c r="B196" s="12">
        <f>COUNTIF(B:B,"Male")/COUNTA(B:B)*100</f>
        <v/>
      </c>
      <c r="C196" s="13" t="inlineStr">
        <is>
          <t>Male Ratio %</t>
        </is>
      </c>
      <c r="D196" s="14" t="inlineStr">
        <is>
          <t>Male employee percentage.</t>
        </is>
      </c>
      <c r="E196" s="14" t="inlineStr">
        <is>
          <t>Male employees ka % nikalo.</t>
        </is>
      </c>
      <c r="F196" s="64" t="inlineStr">
        <is>
          <t>Male/Total×100=Male %.</t>
        </is>
      </c>
      <c r="G196" s="16" t="inlineStr">
        <is>
          <t>MNC: Gender diversity report.</t>
        </is>
      </c>
    </row>
    <row r="197" ht="52" customHeight="1">
      <c r="A197" s="5" t="inlineStr">
        <is>
          <t>185</t>
        </is>
      </c>
      <c r="B197" s="6">
        <f>COUNTIF(B:B,"Female")/COUNTA(B:B)*100</f>
        <v/>
      </c>
      <c r="C197" s="7" t="inlineStr">
        <is>
          <t>Female Ratio %</t>
        </is>
      </c>
      <c r="D197" s="8" t="inlineStr">
        <is>
          <t>Female employee percentage.</t>
        </is>
      </c>
      <c r="E197" s="8" t="inlineStr">
        <is>
          <t>Female employees ka % nikalo.</t>
        </is>
      </c>
      <c r="F197" s="63" t="inlineStr">
        <is>
          <t>Female/Total×100=Female %.</t>
        </is>
      </c>
      <c r="G197" s="10" t="inlineStr">
        <is>
          <t>MNC: Gender diversity report.</t>
        </is>
      </c>
    </row>
    <row r="198" ht="52" customHeight="1">
      <c r="A198" s="11" t="inlineStr">
        <is>
          <t>186</t>
        </is>
      </c>
      <c r="B198" s="12">
        <f>COUNTA(B2:B1000)</f>
        <v/>
      </c>
      <c r="C198" s="13" t="inlineStr">
        <is>
          <t>Headcount</t>
        </is>
      </c>
      <c r="D198" s="14" t="inlineStr">
        <is>
          <t>Total employee headcount.</t>
        </is>
      </c>
      <c r="E198" s="14" t="inlineStr">
        <is>
          <t>Total employees count karo.</t>
        </is>
      </c>
      <c r="F198" s="64" t="inlineStr">
        <is>
          <t>'COUNTA'=Total headcount.</t>
        </is>
      </c>
      <c r="G198" s="16" t="inlineStr">
        <is>
          <t>MNC: HR dashboard — strength.</t>
        </is>
      </c>
    </row>
    <row r="199" ht="52" customHeight="1">
      <c r="A199" s="5" t="inlineStr">
        <is>
          <t>187</t>
        </is>
      </c>
      <c r="B199" s="6">
        <f>COUNTIF(C:C,"Resigned")</f>
        <v/>
      </c>
      <c r="C199" s="7" t="inlineStr">
        <is>
          <t>Attrition Count</t>
        </is>
      </c>
      <c r="D199" s="8" t="inlineStr">
        <is>
          <t>Employees who resigned in period.</t>
        </is>
      </c>
      <c r="E199" s="8" t="inlineStr">
        <is>
          <t>Resign kiye logon ki count.</t>
        </is>
      </c>
      <c r="F199" s="63" t="inlineStr">
        <is>
          <t>'COUNTIF'=Resigned count.</t>
        </is>
      </c>
      <c r="G199" s="10" t="inlineStr">
        <is>
          <t>MNC: Monthly attrition tracking.</t>
        </is>
      </c>
    </row>
    <row r="200" ht="52" customHeight="1">
      <c r="A200" s="11" t="inlineStr">
        <is>
          <t>188</t>
        </is>
      </c>
      <c r="B200" s="12">
        <f>COUNTIF(C:C,"Resigned")/COUNTA(B:B)*100</f>
        <v/>
      </c>
      <c r="C200" s="13" t="inlineStr">
        <is>
          <t>Attrition Rate %</t>
        </is>
      </c>
      <c r="D200" s="14" t="inlineStr">
        <is>
          <t>Attrition rate percentage.</t>
        </is>
      </c>
      <c r="E200" s="14" t="inlineStr">
        <is>
          <t>Attrition rate % nikalo.</t>
        </is>
      </c>
      <c r="F200" s="64" t="inlineStr">
        <is>
          <t>Resigned/Total×100=Attrition %.</t>
        </is>
      </c>
      <c r="G200" s="16" t="inlineStr">
        <is>
          <t>MNC: Monthly attrition KPI.</t>
        </is>
      </c>
    </row>
    <row r="201" ht="52" customHeight="1">
      <c r="A201" s="5" t="inlineStr">
        <is>
          <t>189</t>
        </is>
      </c>
      <c r="B201" s="6">
        <f>D2*E2/100</f>
        <v/>
      </c>
      <c r="C201" s="7" t="inlineStr">
        <is>
          <t>Variable Pay</t>
        </is>
      </c>
      <c r="D201" s="8" t="inlineStr">
        <is>
          <t>Basic × variable % = variable pay.</t>
        </is>
      </c>
      <c r="E201" s="8" t="inlineStr">
        <is>
          <t>Variable component nikalo.</t>
        </is>
      </c>
      <c r="F201" s="63" t="inlineStr">
        <is>
          <t>Basic×Variable%/100=Variable Pay.</t>
        </is>
      </c>
      <c r="G201" s="10" t="inlineStr">
        <is>
          <t>MNC: Performance-linked pay.</t>
        </is>
      </c>
    </row>
    <row r="202" ht="52" customHeight="1">
      <c r="A202" s="11" t="inlineStr">
        <is>
          <t>190</t>
        </is>
      </c>
      <c r="B202" s="12">
        <f>E2*12</f>
        <v/>
      </c>
      <c r="C202" s="13" t="inlineStr">
        <is>
          <t>Annual CTC</t>
        </is>
      </c>
      <c r="D202" s="14" t="inlineStr">
        <is>
          <t>Monthly CTC × 12 = annual CTC.</t>
        </is>
      </c>
      <c r="E202" s="14" t="inlineStr">
        <is>
          <t>Monthly CTC × 12 = annual salary.</t>
        </is>
      </c>
      <c r="F202" s="64" t="inlineStr">
        <is>
          <t>Monthly×12=Annual CTC.</t>
        </is>
      </c>
      <c r="G202" s="16" t="inlineStr">
        <is>
          <t>MNC: Offer letter annual CTC.</t>
        </is>
      </c>
    </row>
    <row r="203" ht="52" customHeight="1">
      <c r="A203" s="5" t="inlineStr">
        <is>
          <t>191</t>
        </is>
      </c>
      <c r="B203" s="6">
        <f>D2/E2*100</f>
        <v/>
      </c>
      <c r="C203" s="7" t="inlineStr">
        <is>
          <t>Training ROI %</t>
        </is>
      </c>
      <c r="D203" s="8" t="inlineStr">
        <is>
          <t>Training value vs cost %.</t>
        </is>
      </c>
      <c r="E203" s="8" t="inlineStr">
        <is>
          <t>Training ka ROI % nikalo.</t>
        </is>
      </c>
      <c r="F203" s="63" t="inlineStr">
        <is>
          <t>Value/Cost×100=Training ROI.</t>
        </is>
      </c>
      <c r="G203" s="10" t="inlineStr">
        <is>
          <t>MNC: L&amp;D investment justification.</t>
        </is>
      </c>
    </row>
    <row r="204" ht="26" customHeight="1">
      <c r="A204" s="65" t="inlineStr">
        <is>
          <t xml:space="preserve">  ►  10. SALES &amp; MARKETING — Vikray aur Vipanam Vibhag</t>
        </is>
      </c>
    </row>
    <row r="205" ht="52" customHeight="1">
      <c r="A205" s="11" t="inlineStr">
        <is>
          <t>192</t>
        </is>
      </c>
      <c r="B205" s="12">
        <f>D2/E2*100</f>
        <v/>
      </c>
      <c r="C205" s="13" t="inlineStr">
        <is>
          <t>Achievement %</t>
        </is>
      </c>
      <c r="D205" s="14" t="inlineStr">
        <is>
          <t>Sales vs target achievement.</t>
        </is>
      </c>
      <c r="E205" s="14" t="inlineStr">
        <is>
          <t>Target ke against % achieve.</t>
        </is>
      </c>
      <c r="F205" s="66" t="inlineStr">
        <is>
          <t>Actual/Target×100=Achiev %.</t>
        </is>
      </c>
      <c r="G205" s="16" t="inlineStr">
        <is>
          <t>MNC: Monthly sales achievement.</t>
        </is>
      </c>
    </row>
    <row r="206" ht="52" customHeight="1">
      <c r="A206" s="67" t="inlineStr">
        <is>
          <t>193</t>
        </is>
      </c>
      <c r="B206" s="68">
        <f>RANK(D2,D$2:D$30,0)</f>
        <v/>
      </c>
      <c r="C206" s="69" t="inlineStr">
        <is>
          <t>Sales Rank</t>
        </is>
      </c>
      <c r="D206" s="70" t="inlineStr">
        <is>
          <t>Salesperson ranking.</t>
        </is>
      </c>
      <c r="E206" s="70" t="inlineStr">
        <is>
          <t>Sales se rank assign karo.</t>
        </is>
      </c>
      <c r="F206" s="71" t="inlineStr">
        <is>
          <t>'RANK'=Sales rank.</t>
        </is>
      </c>
      <c r="G206" s="10" t="inlineStr">
        <is>
          <t>MNC: Monthly leaderboard.</t>
        </is>
      </c>
    </row>
    <row r="207" ht="52" customHeight="1">
      <c r="A207" s="11" t="inlineStr">
        <is>
          <t>194</t>
        </is>
      </c>
      <c r="B207" s="12">
        <f>(D2-E2)/E2*100</f>
        <v/>
      </c>
      <c r="C207" s="13" t="inlineStr">
        <is>
          <t>Growth %</t>
        </is>
      </c>
      <c r="D207" s="14" t="inlineStr">
        <is>
          <t>Sales growth over previous period.</t>
        </is>
      </c>
      <c r="E207" s="14" t="inlineStr">
        <is>
          <t>Growth % nikalo — MoM/YoY.</t>
        </is>
      </c>
      <c r="F207" s="66" t="inlineStr">
        <is>
          <t>(Current-Prev)/Prev×100=Growth.</t>
        </is>
      </c>
      <c r="G207" s="16" t="inlineStr">
        <is>
          <t>MNC: Revenue growth reporting.</t>
        </is>
      </c>
    </row>
    <row r="208" ht="52" customHeight="1">
      <c r="A208" s="67" t="inlineStr">
        <is>
          <t>195</t>
        </is>
      </c>
      <c r="B208" s="68">
        <f>D2*E2/100</f>
        <v/>
      </c>
      <c r="C208" s="69" t="inlineStr">
        <is>
          <t>Commission ₹</t>
        </is>
      </c>
      <c r="D208" s="70" t="inlineStr">
        <is>
          <t>Sales × commission rate = earning.</t>
        </is>
      </c>
      <c r="E208" s="70" t="inlineStr">
        <is>
          <t>Commission rupay mein nikalo.</t>
        </is>
      </c>
      <c r="F208" s="71" t="inlineStr">
        <is>
          <t>Sales×Rate/100=Commission.</t>
        </is>
      </c>
      <c r="G208" s="10" t="inlineStr">
        <is>
          <t>MNC: Sales incentive calculation.</t>
        </is>
      </c>
    </row>
    <row r="209" ht="52" customHeight="1">
      <c r="A209" s="11" t="inlineStr">
        <is>
          <t>196</t>
        </is>
      </c>
      <c r="B209" s="12">
        <f>COUNTIF(C:C,"New Customer")</f>
        <v/>
      </c>
      <c r="C209" s="13" t="inlineStr">
        <is>
          <t>New Customers</t>
        </is>
      </c>
      <c r="D209" s="14" t="inlineStr">
        <is>
          <t>New customers acquired.</t>
        </is>
      </c>
      <c r="E209" s="14" t="inlineStr">
        <is>
          <t>New customers kitne aaye gino.</t>
        </is>
      </c>
      <c r="F209" s="66" t="inlineStr">
        <is>
          <t>'COUNTIF'=New customers count.</t>
        </is>
      </c>
      <c r="G209" s="16" t="inlineStr">
        <is>
          <t>MNC: Customer acquisition tracking.</t>
        </is>
      </c>
    </row>
    <row r="210" ht="52" customHeight="1">
      <c r="A210" s="67" t="inlineStr">
        <is>
          <t>197</t>
        </is>
      </c>
      <c r="B210" s="68">
        <f>COUNTIF(C:C,"Repeat")</f>
        <v/>
      </c>
      <c r="C210" s="69" t="inlineStr">
        <is>
          <t>Repeat Customers</t>
        </is>
      </c>
      <c r="D210" s="70" t="inlineStr">
        <is>
          <t>Repeat purchase customers.</t>
        </is>
      </c>
      <c r="E210" s="70" t="inlineStr">
        <is>
          <t>Repeat customers gino.</t>
        </is>
      </c>
      <c r="F210" s="71" t="inlineStr">
        <is>
          <t>'COUNTIF'=Repeat count.</t>
        </is>
      </c>
      <c r="G210" s="10" t="inlineStr">
        <is>
          <t>MNC: Customer retention tracking.</t>
        </is>
      </c>
    </row>
    <row r="211" ht="52" customHeight="1">
      <c r="A211" s="11" t="inlineStr">
        <is>
          <t>198</t>
        </is>
      </c>
      <c r="B211" s="12">
        <f>D2/E2*100</f>
        <v/>
      </c>
      <c r="C211" s="13" t="inlineStr">
        <is>
          <t>Conversion Rate %</t>
        </is>
      </c>
      <c r="D211" s="14" t="inlineStr">
        <is>
          <t>Leads converted to customers.</t>
        </is>
      </c>
      <c r="E211" s="14" t="inlineStr">
        <is>
          <t>Leads se customers ka % nikalo.</t>
        </is>
      </c>
      <c r="F211" s="66" t="inlineStr">
        <is>
          <t>Converted/Leads×100=Conversion.</t>
        </is>
      </c>
      <c r="G211" s="16" t="inlineStr">
        <is>
          <t>MNC: Sales funnel conversion %.</t>
        </is>
      </c>
    </row>
    <row r="212" ht="52" customHeight="1">
      <c r="A212" s="67" t="inlineStr">
        <is>
          <t>199</t>
        </is>
      </c>
      <c r="B212" s="68">
        <f>COUNTIF(C:C,"Lost")</f>
        <v/>
      </c>
      <c r="C212" s="69" t="inlineStr">
        <is>
          <t>Lost Deals</t>
        </is>
      </c>
      <c r="D212" s="70" t="inlineStr">
        <is>
          <t>Total lost deals/opportunities.</t>
        </is>
      </c>
      <c r="E212" s="70" t="inlineStr">
        <is>
          <t>Kitne deals lose hue gino.</t>
        </is>
      </c>
      <c r="F212" s="71" t="inlineStr">
        <is>
          <t>'COUNTIF'=Lost deals count.</t>
        </is>
      </c>
      <c r="G212" s="10" t="inlineStr">
        <is>
          <t>MNC: Win-loss analysis.</t>
        </is>
      </c>
    </row>
    <row r="213" ht="52" customHeight="1">
      <c r="A213" s="11" t="inlineStr">
        <is>
          <t>200</t>
        </is>
      </c>
      <c r="B213" s="12">
        <f>D2/(D2+E2)*100</f>
        <v/>
      </c>
      <c r="C213" s="13" t="inlineStr">
        <is>
          <t>Win Rate %</t>
        </is>
      </c>
      <c r="D213" s="14" t="inlineStr">
        <is>
          <t>Deals won as % of total.</t>
        </is>
      </c>
      <c r="E213" s="14" t="inlineStr">
        <is>
          <t>Win rate % nikalo.</t>
        </is>
      </c>
      <c r="F213" s="66" t="inlineStr">
        <is>
          <t>Won/(Won+Lost)×100=Win %.</t>
        </is>
      </c>
      <c r="G213" s="16" t="inlineStr">
        <is>
          <t>MNC: Sales effectiveness KPI.</t>
        </is>
      </c>
    </row>
    <row r="214" ht="52" customHeight="1">
      <c r="A214" s="67" t="inlineStr">
        <is>
          <t>201</t>
        </is>
      </c>
      <c r="B214" s="68">
        <f>D2/E2</f>
        <v/>
      </c>
      <c r="C214" s="69" t="inlineStr">
        <is>
          <t>Avg Deal Size ₹</t>
        </is>
      </c>
      <c r="D214" s="70" t="inlineStr">
        <is>
          <t>Total revenue ÷ number of deals.</t>
        </is>
      </c>
      <c r="E214" s="70" t="inlineStr">
        <is>
          <t>Average deal size nikalo.</t>
        </is>
      </c>
      <c r="F214" s="71" t="inlineStr">
        <is>
          <t>Revenue/Deals=Avg Deal Size.</t>
        </is>
      </c>
      <c r="G214" s="10" t="inlineStr">
        <is>
          <t>MNC: Deal size trend analysis.</t>
        </is>
      </c>
    </row>
    <row r="215" ht="52" customHeight="1">
      <c r="A215" s="11" t="inlineStr">
        <is>
          <t>202</t>
        </is>
      </c>
      <c r="B215" s="12">
        <f>SUMIF(B:B,"Product-A",D:D)</f>
        <v/>
      </c>
      <c r="C215" s="13" t="inlineStr">
        <is>
          <t>Product Sales</t>
        </is>
      </c>
      <c r="D215" s="14" t="inlineStr">
        <is>
          <t>Revenue for specific product.</t>
        </is>
      </c>
      <c r="E215" s="14" t="inlineStr">
        <is>
          <t>Ek product ki sales nikalo.</t>
        </is>
      </c>
      <c r="F215" s="66" t="inlineStr">
        <is>
          <t>'SUMIF'=Product filter sum.</t>
        </is>
      </c>
      <c r="G215" s="16" t="inlineStr">
        <is>
          <t>MNC: Product portfolio analysis.</t>
        </is>
      </c>
    </row>
    <row r="216" ht="52" customHeight="1">
      <c r="A216" s="67" t="inlineStr">
        <is>
          <t>203</t>
        </is>
      </c>
      <c r="B216" s="68">
        <f>SUMIFS(D:D,B:B,"Delhi",C:C,"Q1")</f>
        <v/>
      </c>
      <c r="C216" s="69" t="inlineStr">
        <is>
          <t>Region+Quarter</t>
        </is>
      </c>
      <c r="D216" s="70" t="inlineStr">
        <is>
          <t>City-quarter revenue sum.</t>
        </is>
      </c>
      <c r="E216" s="70" t="inlineStr">
        <is>
          <t>City + quarter ki sales nikalo.</t>
        </is>
      </c>
      <c r="F216" s="71" t="inlineStr">
        <is>
          <t>'SUMIFS'=Multiple filter sum.</t>
        </is>
      </c>
      <c r="G216" s="10" t="inlineStr">
        <is>
          <t>MNC: Territory quarterly review.</t>
        </is>
      </c>
    </row>
    <row r="217" ht="52" customHeight="1">
      <c r="A217" s="11" t="inlineStr">
        <is>
          <t>204</t>
        </is>
      </c>
      <c r="B217" s="12">
        <f>D2/E2*100</f>
        <v/>
      </c>
      <c r="C217" s="13" t="inlineStr">
        <is>
          <t>Market Share %</t>
        </is>
      </c>
      <c r="D217" s="14" t="inlineStr">
        <is>
          <t>Company sales ÷ total market × 100.</t>
        </is>
      </c>
      <c r="E217" s="14" t="inlineStr">
        <is>
          <t>Market share % nikalo.</t>
        </is>
      </c>
      <c r="F217" s="66" t="inlineStr">
        <is>
          <t>Company/Market×100=Share %.</t>
        </is>
      </c>
      <c r="G217" s="16" t="inlineStr">
        <is>
          <t>MNC: Competitive analysis KPI.</t>
        </is>
      </c>
    </row>
    <row r="218" ht="52" customHeight="1">
      <c r="A218" s="67" t="inlineStr">
        <is>
          <t>205</t>
        </is>
      </c>
      <c r="B218" s="68">
        <f>IFERROR(VLOOKUP(A2,Target!A:B,2,0),0)</f>
        <v/>
      </c>
      <c r="C218" s="69" t="inlineStr">
        <is>
          <t>Safe Target</t>
        </is>
      </c>
      <c r="D218" s="70" t="inlineStr">
        <is>
          <t>Target fetch — 0 if missing.</t>
        </is>
      </c>
      <c r="E218" s="70" t="inlineStr">
        <is>
          <t>Target safely fetch karo.</t>
        </is>
      </c>
      <c r="F218" s="71" t="inlineStr">
        <is>
          <t>IFERROR+VLOOKUP=Safe lookup.</t>
        </is>
      </c>
      <c r="G218" s="10" t="inlineStr">
        <is>
          <t>MNC: Dashboard without errors.</t>
        </is>
      </c>
    </row>
    <row r="219" ht="52" customHeight="1">
      <c r="A219" s="11" t="inlineStr">
        <is>
          <t>206</t>
        </is>
      </c>
      <c r="B219" s="12">
        <f>D2-E2</f>
        <v/>
      </c>
      <c r="C219" s="13" t="inlineStr">
        <is>
          <t>Sales vs Budget</t>
        </is>
      </c>
      <c r="D219" s="14" t="inlineStr">
        <is>
          <t>Actual sales minus budget.</t>
        </is>
      </c>
      <c r="E219" s="14" t="inlineStr">
        <is>
          <t>Sales budget se farq nikalo.</t>
        </is>
      </c>
      <c r="F219" s="66" t="inlineStr">
        <is>
          <t>Actual-Budget=Variance.</t>
        </is>
      </c>
      <c r="G219" s="16" t="inlineStr">
        <is>
          <t>MNC: Monthly sales budget review.</t>
        </is>
      </c>
    </row>
    <row r="220" ht="52" customHeight="1">
      <c r="A220" s="67" t="inlineStr">
        <is>
          <t>207</t>
        </is>
      </c>
      <c r="B220" s="68">
        <f>D2*E2</f>
        <v/>
      </c>
      <c r="C220" s="69" t="inlineStr">
        <is>
          <t>Revenue Projection</t>
        </is>
      </c>
      <c r="D220" s="70" t="inlineStr">
        <is>
          <t>Units × price = revenue projection.</t>
        </is>
      </c>
      <c r="E220" s="70" t="inlineStr">
        <is>
          <t>Units × price = projected revenue.</t>
        </is>
      </c>
      <c r="F220" s="71" t="inlineStr">
        <is>
          <t>Units×Price=Revenue Projection.</t>
        </is>
      </c>
      <c r="G220" s="10" t="inlineStr">
        <is>
          <t>MNC: Monthly revenue forecast.</t>
        </is>
      </c>
    </row>
    <row r="221" ht="52" customHeight="1">
      <c r="A221" s="11" t="inlineStr">
        <is>
          <t>208</t>
        </is>
      </c>
      <c r="B221" s="12">
        <f>AVERAGE(D2:D12)</f>
        <v/>
      </c>
      <c r="C221" s="13" t="inlineStr">
        <is>
          <t>Monthly Avg Sales</t>
        </is>
      </c>
      <c r="D221" s="14" t="inlineStr">
        <is>
          <t>12-month average sales.</t>
        </is>
      </c>
      <c r="E221" s="14" t="inlineStr">
        <is>
          <t>12 mahine ka average sales.</t>
        </is>
      </c>
      <c r="F221" s="66" t="inlineStr">
        <is>
          <t>'AVERAGE'=Monthly avg.</t>
        </is>
      </c>
      <c r="G221" s="16" t="inlineStr">
        <is>
          <t>MNC: Sales seasonality analysis.</t>
        </is>
      </c>
    </row>
    <row r="222" ht="52" customHeight="1">
      <c r="A222" s="67" t="inlineStr">
        <is>
          <t>209</t>
        </is>
      </c>
      <c r="B222" s="68">
        <f>COUNTIFS(B:B,"Region-A",C:C,"Closed")</f>
        <v/>
      </c>
      <c r="C222" s="69" t="inlineStr">
        <is>
          <t>Region Deals</t>
        </is>
      </c>
      <c r="D222" s="70" t="inlineStr">
        <is>
          <t>Closed deals in specific region.</t>
        </is>
      </c>
      <c r="E222" s="70" t="inlineStr">
        <is>
          <t>Ek region ke closed deals gino.</t>
        </is>
      </c>
      <c r="F222" s="71" t="inlineStr">
        <is>
          <t>'COUNTIFS'=Region+Closed count.</t>
        </is>
      </c>
      <c r="G222" s="10" t="inlineStr">
        <is>
          <t>MNC: Region-wise pipeline closure.</t>
        </is>
      </c>
    </row>
    <row r="223" ht="52" customHeight="1">
      <c r="A223" s="11" t="inlineStr">
        <is>
          <t>210</t>
        </is>
      </c>
      <c r="B223" s="12">
        <f>D2*12</f>
        <v/>
      </c>
      <c r="C223" s="13" t="inlineStr">
        <is>
          <t>Annual Run Rate</t>
        </is>
      </c>
      <c r="D223" s="14" t="inlineStr">
        <is>
          <t>Monthly sales × 12 = annual rate.</t>
        </is>
      </c>
      <c r="E223" s="14" t="inlineStr">
        <is>
          <t>Monthly sales × 12 = annual ARR.</t>
        </is>
      </c>
      <c r="F223" s="66" t="inlineStr">
        <is>
          <t>Monthly×12=Annual Run Rate.</t>
        </is>
      </c>
      <c r="G223" s="16" t="inlineStr">
        <is>
          <t>MNC: Business plan annual projection.</t>
        </is>
      </c>
    </row>
    <row r="224" ht="52" customHeight="1">
      <c r="A224" s="67" t="inlineStr">
        <is>
          <t>211</t>
        </is>
      </c>
      <c r="B224" s="68">
        <f>D2/E2</f>
        <v/>
      </c>
      <c r="C224" s="69" t="inlineStr">
        <is>
          <t>Sales per Employee</t>
        </is>
      </c>
      <c r="D224" s="70" t="inlineStr">
        <is>
          <t>Total sales ÷ sales headcount.</t>
        </is>
      </c>
      <c r="E224" s="70" t="inlineStr">
        <is>
          <t>Per sales person revenue nikalo.</t>
        </is>
      </c>
      <c r="F224" s="71" t="inlineStr">
        <is>
          <t>Sales/Employees=Per Head Sales.</t>
        </is>
      </c>
      <c r="G224" s="10" t="inlineStr">
        <is>
          <t>MNC: Sales force productivity.</t>
        </is>
      </c>
    </row>
    <row r="225" ht="26" customHeight="1">
      <c r="A225" s="17" t="inlineStr">
        <is>
          <t xml:space="preserve">  ►  11. LOGISTICS &amp; SUPPLY CHAIN — Rasad aur Aapurti</t>
        </is>
      </c>
    </row>
    <row r="226" ht="52" customHeight="1">
      <c r="A226" s="11" t="inlineStr">
        <is>
          <t>212</t>
        </is>
      </c>
      <c r="B226" s="12">
        <f>IF(C2&gt;D2,"Delayed","On Time")</f>
        <v/>
      </c>
      <c r="C226" s="13" t="inlineStr">
        <is>
          <t>Delivery Status</t>
        </is>
      </c>
      <c r="D226" s="14" t="inlineStr">
        <is>
          <t>On time or delayed label.</t>
        </is>
      </c>
      <c r="E226" s="14" t="inlineStr">
        <is>
          <t>Delivery status auto-label.</t>
        </is>
      </c>
      <c r="F226" s="18" t="inlineStr">
        <is>
          <t>IF=Date compare → status.</t>
        </is>
      </c>
      <c r="G226" s="16" t="inlineStr">
        <is>
          <t>MNC: Delivery performance KPI.</t>
        </is>
      </c>
    </row>
    <row r="227" ht="52" customHeight="1">
      <c r="A227" s="19" t="inlineStr">
        <is>
          <t>213</t>
        </is>
      </c>
      <c r="B227" s="20">
        <f>COUNTIF(E:E,"On Time")/COUNTA(E:E)*100</f>
        <v/>
      </c>
      <c r="C227" s="21" t="inlineStr">
        <is>
          <t>OTD %</t>
        </is>
      </c>
      <c r="D227" s="22" t="inlineStr">
        <is>
          <t>On-Time Delivery percentage.</t>
        </is>
      </c>
      <c r="E227" s="22" t="inlineStr">
        <is>
          <t>On time delivery % nikalo.</t>
        </is>
      </c>
      <c r="F227" s="23" t="inlineStr">
        <is>
          <t>On Time/Total×100=OTD %.</t>
        </is>
      </c>
      <c r="G227" s="10" t="inlineStr">
        <is>
          <t>MNC: Customer satisfaction KPI.</t>
        </is>
      </c>
    </row>
    <row r="228" ht="52" customHeight="1">
      <c r="A228" s="11" t="inlineStr">
        <is>
          <t>214</t>
        </is>
      </c>
      <c r="B228" s="12">
        <f>DATEDIF(B2,C2,"D")</f>
        <v/>
      </c>
      <c r="C228" s="13" t="inlineStr">
        <is>
          <t>Transit Days</t>
        </is>
      </c>
      <c r="D228" s="14" t="inlineStr">
        <is>
          <t>Dispatch to delivery days.</t>
        </is>
      </c>
      <c r="E228" s="14" t="inlineStr">
        <is>
          <t>Transit time in days nikalo.</t>
        </is>
      </c>
      <c r="F228" s="18" t="inlineStr">
        <is>
          <t>'DATEDIF'=Transit days.</t>
        </is>
      </c>
      <c r="G228" s="16" t="inlineStr">
        <is>
          <t>MNC: Carrier performance tracking.</t>
        </is>
      </c>
    </row>
    <row r="229" ht="52" customHeight="1">
      <c r="A229" s="19" t="inlineStr">
        <is>
          <t>215</t>
        </is>
      </c>
      <c r="B229" s="20">
        <f>D2*E2</f>
        <v/>
      </c>
      <c r="C229" s="21" t="inlineStr">
        <is>
          <t>Freight Cost ₹</t>
        </is>
      </c>
      <c r="D229" s="22" t="inlineStr">
        <is>
          <t>Weight × rate = freight cost.</t>
        </is>
      </c>
      <c r="E229" s="22" t="inlineStr">
        <is>
          <t>Weight × rate = freight cost.</t>
        </is>
      </c>
      <c r="F229" s="23" t="inlineStr">
        <is>
          <t>Wt×Rate=Freight ₹.</t>
        </is>
      </c>
      <c r="G229" s="10" t="inlineStr">
        <is>
          <t>MNC: Shipment cost tracking.</t>
        </is>
      </c>
    </row>
    <row r="230" ht="52" customHeight="1">
      <c r="A230" s="11" t="inlineStr">
        <is>
          <t>216</t>
        </is>
      </c>
      <c r="B230" s="12">
        <f>SUMIF(B:B,"Road",D:D)</f>
        <v/>
      </c>
      <c r="C230" s="13" t="inlineStr">
        <is>
          <t>Mode-wise Cost</t>
        </is>
      </c>
      <c r="D230" s="14" t="inlineStr">
        <is>
          <t>Freight cost by transport mode.</t>
        </is>
      </c>
      <c r="E230" s="14" t="inlineStr">
        <is>
          <t>Road freight total cost nikalo.</t>
        </is>
      </c>
      <c r="F230" s="18" t="inlineStr">
        <is>
          <t>'SUMIF'=Mode filter cost.</t>
        </is>
      </c>
      <c r="G230" s="16" t="inlineStr">
        <is>
          <t>MNC: Road vs Rail vs Air cost.</t>
        </is>
      </c>
    </row>
    <row r="231" ht="52" customHeight="1">
      <c r="A231" s="19" t="inlineStr">
        <is>
          <t>217</t>
        </is>
      </c>
      <c r="B231" s="20">
        <f>D2/E2</f>
        <v/>
      </c>
      <c r="C231" s="21" t="inlineStr">
        <is>
          <t>Freight per Unit</t>
        </is>
      </c>
      <c r="D231" s="22" t="inlineStr">
        <is>
          <t>Freight cost ÷ units shipped.</t>
        </is>
      </c>
      <c r="E231" s="22" t="inlineStr">
        <is>
          <t>Per unit freight cost nikalo.</t>
        </is>
      </c>
      <c r="F231" s="23" t="inlineStr">
        <is>
          <t>Freight/Units=Per Unit Cost.</t>
        </is>
      </c>
      <c r="G231" s="10" t="inlineStr">
        <is>
          <t>MNC: Product logistics cost.</t>
        </is>
      </c>
    </row>
    <row r="232" ht="52" customHeight="1">
      <c r="A232" s="11" t="inlineStr">
        <is>
          <t>218</t>
        </is>
      </c>
      <c r="B232" s="12">
        <f>IF(D2&lt;=E2,"Fulfill OK","Short: "&amp;(E2-D2))</f>
        <v/>
      </c>
      <c r="C232" s="13" t="inlineStr">
        <is>
          <t>Order Fulfillment</t>
        </is>
      </c>
      <c r="D232" s="14" t="inlineStr">
        <is>
          <t>Stock vs order check.</t>
        </is>
      </c>
      <c r="E232" s="14" t="inlineStr">
        <is>
          <t>Order fulfill ho sakta ya nahi.</t>
        </is>
      </c>
      <c r="F232" s="18" t="inlineStr">
        <is>
          <t>IF=Stock vs Order.</t>
        </is>
      </c>
      <c r="G232" s="16" t="inlineStr">
        <is>
          <t>MNC: Order management check.</t>
        </is>
      </c>
    </row>
    <row r="233" ht="52" customHeight="1">
      <c r="A233" s="19" t="inlineStr">
        <is>
          <t>219</t>
        </is>
      </c>
      <c r="B233" s="20">
        <f>D2+E2</f>
        <v/>
      </c>
      <c r="C233" s="21" t="inlineStr">
        <is>
          <t>Expected Delivery</t>
        </is>
      </c>
      <c r="D233" s="22" t="inlineStr">
        <is>
          <t>Dispatch + transit = EDD.</t>
        </is>
      </c>
      <c r="E233" s="22" t="inlineStr">
        <is>
          <t>Expected delivery date nikalo.</t>
        </is>
      </c>
      <c r="F233" s="23" t="inlineStr">
        <is>
          <t>Dispatch+Transit=EDD.</t>
        </is>
      </c>
      <c r="G233" s="10" t="inlineStr">
        <is>
          <t>MNC: Customer delivery promise.</t>
        </is>
      </c>
    </row>
    <row r="234" ht="52" customHeight="1">
      <c r="A234" s="11" t="inlineStr">
        <is>
          <t>220</t>
        </is>
      </c>
      <c r="B234" s="12">
        <f>COUNTIF(C:C,"Return")</f>
        <v/>
      </c>
      <c r="C234" s="13" t="inlineStr">
        <is>
          <t>Returns Count</t>
        </is>
      </c>
      <c r="D234" s="14" t="inlineStr">
        <is>
          <t>Total returned shipments.</t>
        </is>
      </c>
      <c r="E234" s="14" t="inlineStr">
        <is>
          <t>Returns kitne hue gino.</t>
        </is>
      </c>
      <c r="F234" s="18" t="inlineStr">
        <is>
          <t>'COUNTIF'=Returns count.</t>
        </is>
      </c>
      <c r="G234" s="16" t="inlineStr">
        <is>
          <t>MNC: Reverse logistics tracking.</t>
        </is>
      </c>
    </row>
    <row r="235" ht="52" customHeight="1">
      <c r="A235" s="19" t="inlineStr">
        <is>
          <t>221</t>
        </is>
      </c>
      <c r="B235" s="20">
        <f>D2/E2*100</f>
        <v/>
      </c>
      <c r="C235" s="21" t="inlineStr">
        <is>
          <t>Fill Rate %</t>
        </is>
      </c>
      <c r="D235" s="22" t="inlineStr">
        <is>
          <t>Orders fulfilled vs total orders.</t>
        </is>
      </c>
      <c r="E235" s="22" t="inlineStr">
        <is>
          <t>Order fill rate % nikalo.</t>
        </is>
      </c>
      <c r="F235" s="23" t="inlineStr">
        <is>
          <t>Fulfilled/Total×100=Fill %.</t>
        </is>
      </c>
      <c r="G235" s="10" t="inlineStr">
        <is>
          <t>MNC: Supply chain efficiency KPI.</t>
        </is>
      </c>
    </row>
    <row r="236" ht="52" customHeight="1">
      <c r="A236" s="11" t="inlineStr">
        <is>
          <t>222</t>
        </is>
      </c>
      <c r="B236" s="12">
        <f>D2/E2</f>
        <v/>
      </c>
      <c r="C236" s="13" t="inlineStr">
        <is>
          <t>Cost per KM</t>
        </is>
      </c>
      <c r="D236" s="14" t="inlineStr">
        <is>
          <t>Total freight ÷ total distance.</t>
        </is>
      </c>
      <c r="E236" s="14" t="inlineStr">
        <is>
          <t>Per km freight cost nikalo.</t>
        </is>
      </c>
      <c r="F236" s="18" t="inlineStr">
        <is>
          <t>Freight/Distance=Per KM.</t>
        </is>
      </c>
      <c r="G236" s="16" t="inlineStr">
        <is>
          <t>MNC: Transport cost benchmarking.</t>
        </is>
      </c>
    </row>
    <row r="237" ht="52" customHeight="1">
      <c r="A237" s="19" t="inlineStr">
        <is>
          <t>223</t>
        </is>
      </c>
      <c r="B237" s="20">
        <f>COUNTIF(D:D,"Damaged in Transit")</f>
        <v/>
      </c>
      <c r="C237" s="21" t="inlineStr">
        <is>
          <t>Transit Damage</t>
        </is>
      </c>
      <c r="D237" s="22" t="inlineStr">
        <is>
          <t>Items damaged during transit.</t>
        </is>
      </c>
      <c r="E237" s="22" t="inlineStr">
        <is>
          <t>Transit mein damaged items gino.</t>
        </is>
      </c>
      <c r="F237" s="23" t="inlineStr">
        <is>
          <t>'COUNTIF'=Transit damage count.</t>
        </is>
      </c>
      <c r="G237" s="10" t="inlineStr">
        <is>
          <t>MNC: Packaging/carrier quality.</t>
        </is>
      </c>
    </row>
    <row r="238" ht="52" customHeight="1">
      <c r="A238" s="11" t="inlineStr">
        <is>
          <t>224</t>
        </is>
      </c>
      <c r="B238" s="12">
        <f>D2*E2</f>
        <v/>
      </c>
      <c r="C238" s="13" t="inlineStr">
        <is>
          <t>Inventory in Transit</t>
        </is>
      </c>
      <c r="D238" s="14" t="inlineStr">
        <is>
          <t>Units × cost = in-transit value.</t>
        </is>
      </c>
      <c r="E238" s="14" t="inlineStr">
        <is>
          <t>Transit mein inventory value.</t>
        </is>
      </c>
      <c r="F238" s="18" t="inlineStr">
        <is>
          <t>Units×Cost=Transit Value.</t>
        </is>
      </c>
      <c r="G238" s="16" t="inlineStr">
        <is>
          <t>MNC: Working capital in transit.</t>
        </is>
      </c>
    </row>
    <row r="239" ht="52" customHeight="1">
      <c r="A239" s="19" t="inlineStr">
        <is>
          <t>225</t>
        </is>
      </c>
      <c r="B239" s="20">
        <f>D2/E2*100</f>
        <v/>
      </c>
      <c r="C239" s="21" t="inlineStr">
        <is>
          <t>Dock Utilization %</t>
        </is>
      </c>
      <c r="D239" s="22" t="inlineStr">
        <is>
          <t>Actual dock usage vs capacity.</t>
        </is>
      </c>
      <c r="E239" s="22" t="inlineStr">
        <is>
          <t>Dock capacity ka % use nikalo.</t>
        </is>
      </c>
      <c r="F239" s="23" t="inlineStr">
        <is>
          <t>Used/Capacity×100=Util %.</t>
        </is>
      </c>
      <c r="G239" s="10" t="inlineStr">
        <is>
          <t>MNC: Warehouse dock management.</t>
        </is>
      </c>
    </row>
    <row r="240" ht="52" customHeight="1">
      <c r="A240" s="11" t="inlineStr">
        <is>
          <t>226</t>
        </is>
      </c>
      <c r="B240" s="12">
        <f>AVERAGE(D2:D100)</f>
        <v/>
      </c>
      <c r="C240" s="13" t="inlineStr">
        <is>
          <t>Avg Transit Time</t>
        </is>
      </c>
      <c r="D240" s="14" t="inlineStr">
        <is>
          <t>Average delivery transit time.</t>
        </is>
      </c>
      <c r="E240" s="14" t="inlineStr">
        <is>
          <t>Average transit time nikalo.</t>
        </is>
      </c>
      <c r="F240" s="18" t="inlineStr">
        <is>
          <t>'AVERAGE'=Mean transit days.</t>
        </is>
      </c>
      <c r="G240" s="16" t="inlineStr">
        <is>
          <t>MNC: Carrier SLA tracking.</t>
        </is>
      </c>
    </row>
    <row r="241" ht="26" customHeight="1">
      <c r="A241" s="24" t="inlineStr">
        <is>
          <t xml:space="preserve">  ►  12. PLANNING / PPC — Utpadan Niyojan Vibhag</t>
        </is>
      </c>
    </row>
    <row r="242" ht="52" customHeight="1">
      <c r="A242" s="25" t="inlineStr">
        <is>
          <t>227</t>
        </is>
      </c>
      <c r="B242" s="26">
        <f>D2*E2</f>
        <v/>
      </c>
      <c r="C242" s="27" t="inlineStr">
        <is>
          <t>Material Requirement</t>
        </is>
      </c>
      <c r="D242" s="28" t="inlineStr">
        <is>
          <t>BOM × production plan.</t>
        </is>
      </c>
      <c r="E242" s="28" t="inlineStr">
        <is>
          <t>Production plan se RM requirement.</t>
        </is>
      </c>
      <c r="F242" s="29" t="inlineStr">
        <is>
          <t>BOM Qty×Plan=Material Need.</t>
        </is>
      </c>
      <c r="G242" s="10" t="inlineStr">
        <is>
          <t>MNC: MRP calculation.</t>
        </is>
      </c>
    </row>
    <row r="243" ht="52" customHeight="1">
      <c r="A243" s="11" t="inlineStr">
        <is>
          <t>228</t>
        </is>
      </c>
      <c r="B243" s="12">
        <f>D2-E2</f>
        <v/>
      </c>
      <c r="C243" s="13" t="inlineStr">
        <is>
          <t>Net Requirement</t>
        </is>
      </c>
      <c r="D243" s="14" t="inlineStr">
        <is>
          <t>Gross requirement - stock.</t>
        </is>
      </c>
      <c r="E243" s="14" t="inlineStr">
        <is>
          <t>Gross RM need - available stock.</t>
        </is>
      </c>
      <c r="F243" s="30" t="inlineStr">
        <is>
          <t>Gross-Stock=Net Requirement.</t>
        </is>
      </c>
      <c r="G243" s="16" t="inlineStr">
        <is>
          <t>MNC: Net MRP quantity to order.</t>
        </is>
      </c>
    </row>
    <row r="244" ht="52" customHeight="1">
      <c r="A244" s="25" t="inlineStr">
        <is>
          <t>229</t>
        </is>
      </c>
      <c r="B244" s="26">
        <f>CEILING(D2/E2,1)</f>
        <v/>
      </c>
      <c r="C244" s="27" t="inlineStr">
        <is>
          <t>Batches Required</t>
        </is>
      </c>
      <c r="D244" s="28" t="inlineStr">
        <is>
          <t>Rounding up batch count.</t>
        </is>
      </c>
      <c r="E244" s="28" t="inlineStr">
        <is>
          <t>Minimum batches kitne chahiye.</t>
        </is>
      </c>
      <c r="F244" s="29" t="inlineStr">
        <is>
          <t>'CEILING'=Round up batches.</t>
        </is>
      </c>
      <c r="G244" s="10" t="inlineStr">
        <is>
          <t>MNC: Batch planning calculation.</t>
        </is>
      </c>
    </row>
    <row r="245" ht="52" customHeight="1">
      <c r="A245" s="11" t="inlineStr">
        <is>
          <t>230</t>
        </is>
      </c>
      <c r="B245" s="12">
        <f>D2/E2*100</f>
        <v/>
      </c>
      <c r="C245" s="13" t="inlineStr">
        <is>
          <t>Capacity Util %</t>
        </is>
      </c>
      <c r="D245" s="14" t="inlineStr">
        <is>
          <t>Production vs plant capacity.</t>
        </is>
      </c>
      <c r="E245" s="14" t="inlineStr">
        <is>
          <t>Plant capacity ka % use.</t>
        </is>
      </c>
      <c r="F245" s="30" t="inlineStr">
        <is>
          <t>Actual/Capacity×100=Util %.</t>
        </is>
      </c>
      <c r="G245" s="16" t="inlineStr">
        <is>
          <t>MNC: Capacity overload check.</t>
        </is>
      </c>
    </row>
    <row r="246" ht="52" customHeight="1">
      <c r="A246" s="25" t="inlineStr">
        <is>
          <t>231</t>
        </is>
      </c>
      <c r="B246" s="26">
        <f>IF(D2/E2*100&gt;100,"Overloaded",IF(D2/E2*100&lt;70,"Underutilized","Optimal"))</f>
        <v/>
      </c>
      <c r="C246" s="27" t="inlineStr">
        <is>
          <t>Capacity Status</t>
        </is>
      </c>
      <c r="D246" s="28" t="inlineStr">
        <is>
          <t>Optimal/Over/Under label.</t>
        </is>
      </c>
      <c r="E246" s="28" t="inlineStr">
        <is>
          <t>Capacity status auto-label karo.</t>
        </is>
      </c>
      <c r="F246" s="29" t="inlineStr">
        <is>
          <t>IF=% se status label.</t>
        </is>
      </c>
      <c r="G246" s="10" t="inlineStr">
        <is>
          <t>MNC: Resource planning alert.</t>
        </is>
      </c>
    </row>
    <row r="247" ht="52" customHeight="1">
      <c r="A247" s="11" t="inlineStr">
        <is>
          <t>232</t>
        </is>
      </c>
      <c r="B247" s="12">
        <f>SUMIF(B:B,"Line-1",D:D)</f>
        <v/>
      </c>
      <c r="C247" s="13" t="inlineStr">
        <is>
          <t>Line Loading</t>
        </is>
      </c>
      <c r="D247" s="14" t="inlineStr">
        <is>
          <t>Total plan units per line.</t>
        </is>
      </c>
      <c r="E247" s="14" t="inlineStr">
        <is>
          <t>Line-1 ka plan units nikalo.</t>
        </is>
      </c>
      <c r="F247" s="30" t="inlineStr">
        <is>
          <t>'SUMIF'=Line filter plan.</t>
        </is>
      </c>
      <c r="G247" s="16" t="inlineStr">
        <is>
          <t>MNC: Line-wise loading chart.</t>
        </is>
      </c>
    </row>
    <row r="248" ht="52" customHeight="1">
      <c r="A248" s="25" t="inlineStr">
        <is>
          <t>233</t>
        </is>
      </c>
      <c r="B248" s="26">
        <f>D2-TODAY()</f>
        <v/>
      </c>
      <c r="C248" s="27" t="inlineStr">
        <is>
          <t>Days to Delivery</t>
        </is>
      </c>
      <c r="D248" s="28" t="inlineStr">
        <is>
          <t>Days remaining to delivery.</t>
        </is>
      </c>
      <c r="E248" s="28" t="inlineStr">
        <is>
          <t>Delivery deadline tak din bache.</t>
        </is>
      </c>
      <c r="F248" s="29" t="inlineStr">
        <is>
          <t>Deadline-TODAY()=Remaining.</t>
        </is>
      </c>
      <c r="G248" s="10" t="inlineStr">
        <is>
          <t>MNC: Order dispatch countdown.</t>
        </is>
      </c>
    </row>
    <row r="249" ht="52" customHeight="1">
      <c r="A249" s="11" t="inlineStr">
        <is>
          <t>234</t>
        </is>
      </c>
      <c r="B249" s="12">
        <f>NETWORKDAYS(TODAY(),D2)</f>
        <v/>
      </c>
      <c r="C249" s="13" t="inlineStr">
        <is>
          <t>Working Days to Dead</t>
        </is>
      </c>
      <c r="D249" s="14" t="inlineStr">
        <is>
          <t>Business days to deadline.</t>
        </is>
      </c>
      <c r="E249" s="14" t="inlineStr">
        <is>
          <t>Deadline tak working days.</t>
        </is>
      </c>
      <c r="F249" s="30" t="inlineStr">
        <is>
          <t>'NETWORKDAYS'=Working days left.</t>
        </is>
      </c>
      <c r="G249" s="16" t="inlineStr">
        <is>
          <t>MNC: Production scheduling.</t>
        </is>
      </c>
    </row>
    <row r="250" ht="52" customHeight="1">
      <c r="A250" s="25" t="inlineStr">
        <is>
          <t>235</t>
        </is>
      </c>
      <c r="B250" s="26">
        <f>D2/E2</f>
        <v/>
      </c>
      <c r="C250" s="27" t="inlineStr">
        <is>
          <t>Planned vs Actual</t>
        </is>
      </c>
      <c r="D250" s="28" t="inlineStr">
        <is>
          <t>Plan achievement ratio.</t>
        </is>
      </c>
      <c r="E250" s="28" t="inlineStr">
        <is>
          <t>Plan vs actual ratio nikalo.</t>
        </is>
      </c>
      <c r="F250" s="29" t="inlineStr">
        <is>
          <t>Actual/Plan=Achievement Ratio.</t>
        </is>
      </c>
      <c r="G250" s="10" t="inlineStr">
        <is>
          <t>MNC: Production planning accuracy.</t>
        </is>
      </c>
    </row>
    <row r="251" ht="52" customHeight="1">
      <c r="A251" s="11" t="inlineStr">
        <is>
          <t>236</t>
        </is>
      </c>
      <c r="B251" s="12">
        <f>SUM(C2:C8)</f>
        <v/>
      </c>
      <c r="C251" s="13" t="inlineStr">
        <is>
          <t>Weekly Plan Total</t>
        </is>
      </c>
      <c r="D251" s="14" t="inlineStr">
        <is>
          <t>Sum of 7-day production plan.</t>
        </is>
      </c>
      <c r="E251" s="14" t="inlineStr">
        <is>
          <t>7 din ka plan total nikalo.</t>
        </is>
      </c>
      <c r="F251" s="30" t="inlineStr">
        <is>
          <t>'SUM'=Weekly plan sum.</t>
        </is>
      </c>
      <c r="G251" s="16" t="inlineStr">
        <is>
          <t>MNC: Weekly production schedule.</t>
        </is>
      </c>
    </row>
    <row r="252" ht="52" customHeight="1">
      <c r="A252" s="25" t="inlineStr">
        <is>
          <t>237</t>
        </is>
      </c>
      <c r="B252" s="26">
        <f>IF(D2&gt;E2,"Expedite","Normal")</f>
        <v/>
      </c>
      <c r="C252" s="27" t="inlineStr">
        <is>
          <t>Priority Flag</t>
        </is>
      </c>
      <c r="D252" s="28" t="inlineStr">
        <is>
          <t>Expedite or normal order label.</t>
        </is>
      </c>
      <c r="E252" s="28" t="inlineStr">
        <is>
          <t>Order priority flag karo.</t>
        </is>
      </c>
      <c r="F252" s="29" t="inlineStr">
        <is>
          <t>IF=Demand vs stock → priority.</t>
        </is>
      </c>
      <c r="G252" s="10" t="inlineStr">
        <is>
          <t>MNC: Rush order management.</t>
        </is>
      </c>
    </row>
    <row r="253" ht="52" customHeight="1">
      <c r="A253" s="11" t="inlineStr">
        <is>
          <t>238</t>
        </is>
      </c>
      <c r="B253" s="12">
        <f>D2*E2/100</f>
        <v/>
      </c>
      <c r="C253" s="13" t="inlineStr">
        <is>
          <t>Scrap Allowance</t>
        </is>
      </c>
      <c r="D253" s="14" t="inlineStr">
        <is>
          <t>Production plan × scrap % = extra plan.</t>
        </is>
      </c>
      <c r="E253" s="14" t="inlineStr">
        <is>
          <t>Scrap ke liye extra production plan.</t>
        </is>
      </c>
      <c r="F253" s="30" t="inlineStr">
        <is>
          <t>Plan×Scrap%/100=Extra Units.</t>
        </is>
      </c>
      <c r="G253" s="16" t="inlineStr">
        <is>
          <t>MNC: Gross requirement with scrap.</t>
        </is>
      </c>
    </row>
    <row r="254" ht="52" customHeight="1">
      <c r="A254" s="25" t="inlineStr">
        <is>
          <t>239</t>
        </is>
      </c>
      <c r="B254" s="26">
        <f>D2+D2*E2/100</f>
        <v/>
      </c>
      <c r="C254" s="27" t="inlineStr">
        <is>
          <t>Gross Plan</t>
        </is>
      </c>
      <c r="D254" s="28" t="inlineStr">
        <is>
          <t>Net plan + scrap allowance.</t>
        </is>
      </c>
      <c r="E254" s="28" t="inlineStr">
        <is>
          <t>Scrap jodke gross plan nikalo.</t>
        </is>
      </c>
      <c r="F254" s="29" t="inlineStr">
        <is>
          <t>Net+Scrap=Gross Plan.</t>
        </is>
      </c>
      <c r="G254" s="10" t="inlineStr">
        <is>
          <t>MNC: Production plan with buffer.</t>
        </is>
      </c>
    </row>
    <row r="255" ht="52" customHeight="1">
      <c r="A255" s="11" t="inlineStr">
        <is>
          <t>240</t>
        </is>
      </c>
      <c r="B255" s="12">
        <f>SUMPRODUCT((B2:B100=B2)*(D2:D100))</f>
        <v/>
      </c>
      <c r="C255" s="13" t="inlineStr">
        <is>
          <t>Model Mix Check</t>
        </is>
      </c>
      <c r="D255" s="14" t="inlineStr">
        <is>
          <t>Total units of each model planned.</t>
        </is>
      </c>
      <c r="E255" s="14" t="inlineStr">
        <is>
          <t>Ek model ka total planned units.</t>
        </is>
      </c>
      <c r="F255" s="30" t="inlineStr">
        <is>
          <t>SUMPRODUCT=Model filter sum.</t>
        </is>
      </c>
      <c r="G255" s="16" t="inlineStr">
        <is>
          <t>MNC: Mixed model production planning.</t>
        </is>
      </c>
    </row>
    <row r="256" ht="26" customHeight="1">
      <c r="A256" s="72" t="inlineStr">
        <is>
          <t xml:space="preserve">  ►  13. IT DEPARTMENT — Suchna Praudyogiki Vibhag</t>
        </is>
      </c>
    </row>
    <row r="257" ht="52" customHeight="1">
      <c r="A257" s="46" t="inlineStr">
        <is>
          <t>241</t>
        </is>
      </c>
      <c r="B257" s="47">
        <f>COUNTIF(C:C,"Resolved")/COUNTA(C:C)*100</f>
        <v/>
      </c>
      <c r="C257" s="48" t="inlineStr">
        <is>
          <t>Resolution %</t>
        </is>
      </c>
      <c r="D257" s="49" t="inlineStr">
        <is>
          <t>IT ticket resolution rate.</t>
        </is>
      </c>
      <c r="E257" s="49" t="inlineStr">
        <is>
          <t>Tickets kitne % resolve hue.</t>
        </is>
      </c>
      <c r="F257" s="73" t="inlineStr">
        <is>
          <t>Resolved/Total×100=Resolution %.</t>
        </is>
      </c>
      <c r="G257" s="10" t="inlineStr">
        <is>
          <t>MNC: Helpdesk SLA — resolution rate.</t>
        </is>
      </c>
    </row>
    <row r="258" ht="52" customHeight="1">
      <c r="A258" s="11" t="inlineStr">
        <is>
          <t>242</t>
        </is>
      </c>
      <c r="B258" s="12">
        <f>AVERAGE(D:D)</f>
        <v/>
      </c>
      <c r="C258" s="13" t="inlineStr">
        <is>
          <t>Avg Resolution Hrs</t>
        </is>
      </c>
      <c r="D258" s="14" t="inlineStr">
        <is>
          <t>Average ticket resolution time.</t>
        </is>
      </c>
      <c r="E258" s="14" t="inlineStr">
        <is>
          <t>Average resolution time hours.</t>
        </is>
      </c>
      <c r="F258" s="74" t="inlineStr">
        <is>
          <t>'AVERAGE'=Mean resolution time.</t>
        </is>
      </c>
      <c r="G258" s="16" t="inlineStr">
        <is>
          <t>MNC: IT SLA compliance.</t>
        </is>
      </c>
    </row>
    <row r="259" ht="52" customHeight="1">
      <c r="A259" s="46" t="inlineStr">
        <is>
          <t>243</t>
        </is>
      </c>
      <c r="B259" s="47">
        <f>IF(D2&lt;=E2,"SLA Met","SLA Breached")</f>
        <v/>
      </c>
      <c r="C259" s="48" t="inlineStr">
        <is>
          <t>SLA Status</t>
        </is>
      </c>
      <c r="D259" s="49" t="inlineStr">
        <is>
          <t>SLA met or breached check.</t>
        </is>
      </c>
      <c r="E259" s="49" t="inlineStr">
        <is>
          <t>SLA ke andar resolve hua ya nahi.</t>
        </is>
      </c>
      <c r="F259" s="73" t="inlineStr">
        <is>
          <t>IF=Actual vs SLA time.</t>
        </is>
      </c>
      <c r="G259" s="10" t="inlineStr">
        <is>
          <t>MNC: IT service management.</t>
        </is>
      </c>
    </row>
    <row r="260" ht="52" customHeight="1">
      <c r="A260" s="11" t="inlineStr">
        <is>
          <t>244</t>
        </is>
      </c>
      <c r="B260" s="12">
        <f>COUNTIF(C:C,"SLA Breached")/COUNTA(C:C)*100</f>
        <v/>
      </c>
      <c r="C260" s="13" t="inlineStr">
        <is>
          <t>SLA Breach %</t>
        </is>
      </c>
      <c r="D260" s="14" t="inlineStr">
        <is>
          <t>% of SLA breaches.</t>
        </is>
      </c>
      <c r="E260" s="14" t="inlineStr">
        <is>
          <t>SLA breach % nikalo.</t>
        </is>
      </c>
      <c r="F260" s="74" t="inlineStr">
        <is>
          <t>Breached/Total×100=Breach %.</t>
        </is>
      </c>
      <c r="G260" s="16" t="inlineStr">
        <is>
          <t>MNC: IT governance reporting.</t>
        </is>
      </c>
    </row>
    <row r="261" ht="52" customHeight="1">
      <c r="A261" s="46" t="inlineStr">
        <is>
          <t>245</t>
        </is>
      </c>
      <c r="B261" s="47">
        <f>TODAY()-B2</f>
        <v/>
      </c>
      <c r="C261" s="48" t="inlineStr">
        <is>
          <t>Asset Age Days</t>
        </is>
      </c>
      <c r="D261" s="49" t="inlineStr">
        <is>
          <t>IT asset age in days.</t>
        </is>
      </c>
      <c r="E261" s="49" t="inlineStr">
        <is>
          <t>Asset kharide hue kitne din ho gaye.</t>
        </is>
      </c>
      <c r="F261" s="73" t="inlineStr">
        <is>
          <t>TODAY()-Purchase=Age Days.</t>
        </is>
      </c>
      <c r="G261" s="10" t="inlineStr">
        <is>
          <t>MNC: IT asset lifecycle management.</t>
        </is>
      </c>
    </row>
    <row r="262" ht="52" customHeight="1">
      <c r="A262" s="11" t="inlineStr">
        <is>
          <t>246</t>
        </is>
      </c>
      <c r="B262" s="12">
        <f>IF(TODAY()-B2&gt;1825,"Replace","OK")</f>
        <v/>
      </c>
      <c r="C262" s="13" t="inlineStr">
        <is>
          <t>Replacement Flag</t>
        </is>
      </c>
      <c r="D262" s="14" t="inlineStr">
        <is>
          <t>Assets older than 5 years flag.</t>
        </is>
      </c>
      <c r="E262" s="14" t="inlineStr">
        <is>
          <t>5 saal purane assets flag karo.</t>
        </is>
      </c>
      <c r="F262" s="74" t="inlineStr">
        <is>
          <t>IF+Days&gt;1825=Replace flag.</t>
        </is>
      </c>
      <c r="G262" s="16" t="inlineStr">
        <is>
          <t>MNC: Hardware refresh cycle.</t>
        </is>
      </c>
    </row>
    <row r="263" ht="52" customHeight="1">
      <c r="A263" s="46" t="inlineStr">
        <is>
          <t>247</t>
        </is>
      </c>
      <c r="B263" s="47">
        <f>COUNTIF(D:D,"Active")/COUNTA(D:D)*100</f>
        <v/>
      </c>
      <c r="C263" s="48" t="inlineStr">
        <is>
          <t>License Util %</t>
        </is>
      </c>
      <c r="D263" s="49" t="inlineStr">
        <is>
          <t>Active software licenses %.</t>
        </is>
      </c>
      <c r="E263" s="49" t="inlineStr">
        <is>
          <t>Software licenses use % nikalo.</t>
        </is>
      </c>
      <c r="F263" s="73" t="inlineStr">
        <is>
          <t>Active/Total×100=Util %.</t>
        </is>
      </c>
      <c r="G263" s="10" t="inlineStr">
        <is>
          <t>MNC: Software asset management.</t>
        </is>
      </c>
    </row>
    <row r="264" ht="52" customHeight="1">
      <c r="A264" s="11" t="inlineStr">
        <is>
          <t>248</t>
        </is>
      </c>
      <c r="B264" s="12">
        <f>D2*E2</f>
        <v/>
      </c>
      <c r="C264" s="13" t="inlineStr">
        <is>
          <t>IT Cost per User</t>
        </is>
      </c>
      <c r="D264" s="14" t="inlineStr">
        <is>
          <t>Total IT cost ÷ users.</t>
        </is>
      </c>
      <c r="E264" s="14" t="inlineStr">
        <is>
          <t>Per user IT cost nikalo.</t>
        </is>
      </c>
      <c r="F264" s="74" t="inlineStr">
        <is>
          <t>Total/Users=Per User Cost.</t>
        </is>
      </c>
      <c r="G264" s="16" t="inlineStr">
        <is>
          <t>MNC: IT chargeback allocation.</t>
        </is>
      </c>
    </row>
    <row r="265" ht="52" customHeight="1">
      <c r="A265" s="46" t="inlineStr">
        <is>
          <t>249</t>
        </is>
      </c>
      <c r="B265" s="47">
        <f>COUNTIF(C:C,"Critical")</f>
        <v/>
      </c>
      <c r="C265" s="48" t="inlineStr">
        <is>
          <t>Critical Incidents</t>
        </is>
      </c>
      <c r="D265" s="49" t="inlineStr">
        <is>
          <t>Critical IT incidents count.</t>
        </is>
      </c>
      <c r="E265" s="49" t="inlineStr">
        <is>
          <t>Critical incidents gino.</t>
        </is>
      </c>
      <c r="F265" s="73" t="inlineStr">
        <is>
          <t>'COUNTIF'=Critical count.</t>
        </is>
      </c>
      <c r="G265" s="10" t="inlineStr">
        <is>
          <t>MNC: IT incident management P1.</t>
        </is>
      </c>
    </row>
    <row r="266" ht="52" customHeight="1">
      <c r="A266" s="11" t="inlineStr">
        <is>
          <t>250</t>
        </is>
      </c>
      <c r="B266" s="12">
        <f>COUNTIF(C:C,"Open")</f>
        <v/>
      </c>
      <c r="C266" s="13" t="inlineStr">
        <is>
          <t>Open Tickets</t>
        </is>
      </c>
      <c r="D266" s="14" t="inlineStr">
        <is>
          <t>Total open tickets.</t>
        </is>
      </c>
      <c r="E266" s="14" t="inlineStr">
        <is>
          <t>Open tickets gino.</t>
        </is>
      </c>
      <c r="F266" s="74" t="inlineStr">
        <is>
          <t>'COUNTIF'=Open tickets count.</t>
        </is>
      </c>
      <c r="G266" s="16" t="inlineStr">
        <is>
          <t>MNC: IT helpdesk backlog.</t>
        </is>
      </c>
    </row>
    <row r="267" ht="52" customHeight="1">
      <c r="A267" s="46" t="inlineStr">
        <is>
          <t>251</t>
        </is>
      </c>
      <c r="B267" s="47">
        <f>D2/E2*100</f>
        <v/>
      </c>
      <c r="C267" s="48" t="inlineStr">
        <is>
          <t>System Uptime %</t>
        </is>
      </c>
      <c r="D267" s="49" t="inlineStr">
        <is>
          <t>System uptime as % of total.</t>
        </is>
      </c>
      <c r="E267" s="49" t="inlineStr">
        <is>
          <t>System kitna % time up raha.</t>
        </is>
      </c>
      <c r="F267" s="73" t="inlineStr">
        <is>
          <t>Running/Total×100=Uptime %.</t>
        </is>
      </c>
      <c r="G267" s="10" t="inlineStr">
        <is>
          <t>MNC: Infrastructure SLA — 99.9% target.</t>
        </is>
      </c>
    </row>
    <row r="268" ht="52" customHeight="1">
      <c r="A268" s="11" t="inlineStr">
        <is>
          <t>252</t>
        </is>
      </c>
      <c r="B268" s="12">
        <f>IF(D2/E2*100&gt;=99.9,"SLA Met","Below SLA")</f>
        <v/>
      </c>
      <c r="C268" s="13" t="inlineStr">
        <is>
          <t>Uptime SLA</t>
        </is>
      </c>
      <c r="D268" s="14" t="inlineStr">
        <is>
          <t>System uptime SLA check.</t>
        </is>
      </c>
      <c r="E268" s="14" t="inlineStr">
        <is>
          <t>System uptime SLA met ya nahi.</t>
        </is>
      </c>
      <c r="F268" s="74" t="inlineStr">
        <is>
          <t>IF=99.9% uptime threshold.</t>
        </is>
      </c>
      <c r="G268" s="16" t="inlineStr">
        <is>
          <t>MNC: Server uptime SLA compliance.</t>
        </is>
      </c>
    </row>
    <row r="269" ht="52" customHeight="1">
      <c r="A269" s="46" t="inlineStr">
        <is>
          <t>253</t>
        </is>
      </c>
      <c r="B269" s="47">
        <f>SUM(D2:D100)</f>
        <v/>
      </c>
      <c r="C269" s="48" t="inlineStr">
        <is>
          <t>Total IT Spend</t>
        </is>
      </c>
      <c r="D269" s="49" t="inlineStr">
        <is>
          <t>Total IT department spend.</t>
        </is>
      </c>
      <c r="E269" s="49" t="inlineStr">
        <is>
          <t>IT ka total kharcha nikalo.</t>
        </is>
      </c>
      <c r="F269" s="73" t="inlineStr">
        <is>
          <t>'SUM'=Total IT expenditure.</t>
        </is>
      </c>
      <c r="G269" s="10" t="inlineStr">
        <is>
          <t>MNC: IT budget tracking.</t>
        </is>
      </c>
    </row>
    <row r="270" ht="52" customHeight="1">
      <c r="A270" s="11" t="inlineStr">
        <is>
          <t>254</t>
        </is>
      </c>
      <c r="B270" s="12">
        <f>D2/E2</f>
        <v/>
      </c>
      <c r="C270" s="13" t="inlineStr">
        <is>
          <t>Cost per Transaction</t>
        </is>
      </c>
      <c r="D270" s="14" t="inlineStr">
        <is>
          <t>IT cost per business transaction.</t>
        </is>
      </c>
      <c r="E270" s="14" t="inlineStr">
        <is>
          <t>Per transaction IT cost nikalo.</t>
        </is>
      </c>
      <c r="F270" s="74" t="inlineStr">
        <is>
          <t>Total Cost/Transactions=Per Tx.</t>
        </is>
      </c>
      <c r="G270" s="16" t="inlineStr">
        <is>
          <t>MNC: IT ROI — cost per transaction.</t>
        </is>
      </c>
    </row>
    <row r="271" ht="26" customHeight="1">
      <c r="A271" s="75" t="inlineStr">
        <is>
          <t xml:space="preserve">  ►  14. ADMIN DEPARTMENT — Prashasan Vibhag</t>
        </is>
      </c>
    </row>
    <row r="272" ht="52" customHeight="1">
      <c r="A272" s="76" t="inlineStr">
        <is>
          <t>255</t>
        </is>
      </c>
      <c r="B272" s="77">
        <f>D2*E2</f>
        <v/>
      </c>
      <c r="C272" s="78" t="inlineStr">
        <is>
          <t>Travel Reimbursement</t>
        </is>
      </c>
      <c r="D272" s="79" t="inlineStr">
        <is>
          <t>KM × rate = travel cost.</t>
        </is>
      </c>
      <c r="E272" s="79" t="inlineStr">
        <is>
          <t>KM × rate = travel reimbursement.</t>
        </is>
      </c>
      <c r="F272" s="80" t="inlineStr">
        <is>
          <t>KM×Rate=Travel Cost ₹.</t>
        </is>
      </c>
      <c r="G272" s="10" t="inlineStr">
        <is>
          <t>MNC: Employee travel expense.</t>
        </is>
      </c>
    </row>
    <row r="273" ht="52" customHeight="1">
      <c r="A273" s="11" t="inlineStr">
        <is>
          <t>256</t>
        </is>
      </c>
      <c r="B273" s="12">
        <f>SUM(D2:D10)</f>
        <v/>
      </c>
      <c r="C273" s="13" t="inlineStr">
        <is>
          <t>Total Admin Expense</t>
        </is>
      </c>
      <c r="D273" s="14" t="inlineStr">
        <is>
          <t>Sum of all admin expenses.</t>
        </is>
      </c>
      <c r="E273" s="14" t="inlineStr">
        <is>
          <t>Saare admin kharche jodo.</t>
        </is>
      </c>
      <c r="F273" s="81" t="inlineStr">
        <is>
          <t>'SUM'=Total expenses.</t>
        </is>
      </c>
      <c r="G273" s="16" t="inlineStr">
        <is>
          <t>MNC: Monthly admin expense report.</t>
        </is>
      </c>
    </row>
    <row r="274" ht="52" customHeight="1">
      <c r="A274" s="76" t="inlineStr">
        <is>
          <t>257</t>
        </is>
      </c>
      <c r="B274" s="77">
        <f>IF(D2&gt;E2,"Over Budget","OK")</f>
        <v/>
      </c>
      <c r="C274" s="78" t="inlineStr">
        <is>
          <t>Expense Alert</t>
        </is>
      </c>
      <c r="D274" s="79" t="inlineStr">
        <is>
          <t>Budget vs expense check.</t>
        </is>
      </c>
      <c r="E274" s="79" t="inlineStr">
        <is>
          <t>Kharcha budget se zyada ya nahi.</t>
        </is>
      </c>
      <c r="F274" s="80" t="inlineStr">
        <is>
          <t>IF=Expense vs budget.</t>
        </is>
      </c>
      <c r="G274" s="10" t="inlineStr">
        <is>
          <t>MNC: Admin cost center monitoring.</t>
        </is>
      </c>
    </row>
    <row r="275" ht="52" customHeight="1">
      <c r="A275" s="11" t="inlineStr">
        <is>
          <t>258</t>
        </is>
      </c>
      <c r="B275" s="12">
        <f>DATEDIF(B2,C2,"D")+1</f>
        <v/>
      </c>
      <c r="C275" s="13" t="inlineStr">
        <is>
          <t>Event Duration</t>
        </is>
      </c>
      <c r="D275" s="14" t="inlineStr">
        <is>
          <t>Start to end days of event.</t>
        </is>
      </c>
      <c r="E275" s="14" t="inlineStr">
        <is>
          <t>Event kitne din ka hai nikalo.</t>
        </is>
      </c>
      <c r="F275" s="81" t="inlineStr">
        <is>
          <t>'DATEDIF'+1=Event duration.</t>
        </is>
      </c>
      <c r="G275" s="16" t="inlineStr">
        <is>
          <t>MNC: Conference/training planning.</t>
        </is>
      </c>
    </row>
    <row r="276" ht="52" customHeight="1">
      <c r="A276" s="76" t="inlineStr">
        <is>
          <t>259</t>
        </is>
      </c>
      <c r="B276" s="77">
        <f>D2/E2</f>
        <v/>
      </c>
      <c r="C276" s="78" t="inlineStr">
        <is>
          <t>Cost per Attendee</t>
        </is>
      </c>
      <c r="D276" s="79" t="inlineStr">
        <is>
          <t>Total cost ÷ attendees.</t>
        </is>
      </c>
      <c r="E276" s="79" t="inlineStr">
        <is>
          <t>Per person cost nikalo.</t>
        </is>
      </c>
      <c r="F276" s="80" t="inlineStr">
        <is>
          <t>Total Cost/Persons=Per Head.</t>
        </is>
      </c>
      <c r="G276" s="10" t="inlineStr">
        <is>
          <t>MNC: Training/event per head cost.</t>
        </is>
      </c>
    </row>
    <row r="277" ht="52" customHeight="1">
      <c r="A277" s="11" t="inlineStr">
        <is>
          <t>260</t>
        </is>
      </c>
      <c r="B277" s="12">
        <f>COUNTIF(C:C,"Pending")</f>
        <v/>
      </c>
      <c r="C277" s="13" t="inlineStr">
        <is>
          <t>Pending Tasks</t>
        </is>
      </c>
      <c r="D277" s="14" t="inlineStr">
        <is>
          <t>Count of open admin tasks.</t>
        </is>
      </c>
      <c r="E277" s="14" t="inlineStr">
        <is>
          <t>Pending tasks gino.</t>
        </is>
      </c>
      <c r="F277" s="81" t="inlineStr">
        <is>
          <t>'COUNTIF'=Pending count.</t>
        </is>
      </c>
      <c r="G277" s="16" t="inlineStr">
        <is>
          <t>MNC: Admin task tracker.</t>
        </is>
      </c>
    </row>
    <row r="278" ht="52" customHeight="1">
      <c r="A278" s="76" t="inlineStr">
        <is>
          <t>261</t>
        </is>
      </c>
      <c r="B278" s="77">
        <f>TODAY()-B2</f>
        <v/>
      </c>
      <c r="C278" s="78" t="inlineStr">
        <is>
          <t>Request Age Days</t>
        </is>
      </c>
      <c r="D278" s="79" t="inlineStr">
        <is>
          <t>Days since admin request raised.</t>
        </is>
      </c>
      <c r="E278" s="79" t="inlineStr">
        <is>
          <t>Request kiye hue kitne din ho gaye.</t>
        </is>
      </c>
      <c r="F278" s="80" t="inlineStr">
        <is>
          <t>TODAY()-Date=Age days.</t>
        </is>
      </c>
      <c r="G278" s="10" t="inlineStr">
        <is>
          <t>MNC: Admin TAT monitoring.</t>
        </is>
      </c>
    </row>
    <row r="279" ht="52" customHeight="1">
      <c r="A279" s="11" t="inlineStr">
        <is>
          <t>262</t>
        </is>
      </c>
      <c r="B279" s="12">
        <f>SUMIF(B:B,"Canteen",D:D)</f>
        <v/>
      </c>
      <c r="C279" s="13" t="inlineStr">
        <is>
          <t>Canteen Cost</t>
        </is>
      </c>
      <c r="D279" s="14" t="inlineStr">
        <is>
          <t>Total canteen facility cost.</t>
        </is>
      </c>
      <c r="E279" s="14" t="inlineStr">
        <is>
          <t>Canteen ka total kharcha.</t>
        </is>
      </c>
      <c r="F279" s="81" t="inlineStr">
        <is>
          <t>'SUMIF'=Canteen filter cost.</t>
        </is>
      </c>
      <c r="G279" s="16" t="inlineStr">
        <is>
          <t>MNC: Facility cost management.</t>
        </is>
      </c>
    </row>
    <row r="280" ht="52" customHeight="1">
      <c r="A280" s="76" t="inlineStr">
        <is>
          <t>263</t>
        </is>
      </c>
      <c r="B280" s="77">
        <f>D2/E2</f>
        <v/>
      </c>
      <c r="C280" s="78" t="inlineStr">
        <is>
          <t>Per Meal Cost</t>
        </is>
      </c>
      <c r="D280" s="79" t="inlineStr">
        <is>
          <t>Total food cost ÷ meals served.</t>
        </is>
      </c>
      <c r="E280" s="79" t="inlineStr">
        <is>
          <t>Per meal cost nikalo.</t>
        </is>
      </c>
      <c r="F280" s="80" t="inlineStr">
        <is>
          <t>Total/Meals=Per Meal Cost.</t>
        </is>
      </c>
      <c r="G280" s="10" t="inlineStr">
        <is>
          <t>MNC: Canteen subsidy calculation.</t>
        </is>
      </c>
    </row>
    <row r="281" ht="52" customHeight="1">
      <c r="A281" s="11" t="inlineStr">
        <is>
          <t>264</t>
        </is>
      </c>
      <c r="B281" s="12">
        <f>D2*12</f>
        <v/>
      </c>
      <c r="C281" s="13" t="inlineStr">
        <is>
          <t>Annual Admin Cost</t>
        </is>
      </c>
      <c r="D281" s="14" t="inlineStr">
        <is>
          <t>Monthly admin cost × 12.</t>
        </is>
      </c>
      <c r="E281" s="14" t="inlineStr">
        <is>
          <t>Monthly cost × 12 = annual.</t>
        </is>
      </c>
      <c r="F281" s="81" t="inlineStr">
        <is>
          <t>Monthly×12=Annual Cost.</t>
        </is>
      </c>
      <c r="G281" s="16" t="inlineStr">
        <is>
          <t>MNC: Annual admin budget planning.</t>
        </is>
      </c>
    </row>
    <row r="282" ht="52" customHeight="1">
      <c r="A282" s="76" t="inlineStr">
        <is>
          <t>265</t>
        </is>
      </c>
      <c r="B282" s="77">
        <f>COUNTIF(C:C,"Completed")/COUNTA(C:C)*100</f>
        <v/>
      </c>
      <c r="C282" s="78" t="inlineStr">
        <is>
          <t>Task Completion %</t>
        </is>
      </c>
      <c r="D282" s="79" t="inlineStr">
        <is>
          <t>Admin tasks completed %.</t>
        </is>
      </c>
      <c r="E282" s="79" t="inlineStr">
        <is>
          <t>Tasks kitne % complete hue.</t>
        </is>
      </c>
      <c r="F282" s="80" t="inlineStr">
        <is>
          <t>Done/Total×100=Completion %.</t>
        </is>
      </c>
      <c r="G282" s="10" t="inlineStr">
        <is>
          <t>MNC: Admin team productivity.</t>
        </is>
      </c>
    </row>
    <row r="283" ht="52" customHeight="1">
      <c r="A283" s="11" t="inlineStr">
        <is>
          <t>266</t>
        </is>
      </c>
      <c r="B283" s="12">
        <f>SUMIF(B:B,"Housekeeping",D:D)</f>
        <v/>
      </c>
      <c r="C283" s="13" t="inlineStr">
        <is>
          <t>Housekeeping Cost</t>
        </is>
      </c>
      <c r="D283" s="14" t="inlineStr">
        <is>
          <t>Housekeeping service total cost.</t>
        </is>
      </c>
      <c r="E283" s="14" t="inlineStr">
        <is>
          <t>Housekeeping ka kharcha nikalo.</t>
        </is>
      </c>
      <c r="F283" s="81" t="inlineStr">
        <is>
          <t>'SUMIF'=HK filter cost.</t>
        </is>
      </c>
      <c r="G283" s="16" t="inlineStr">
        <is>
          <t>MNC: Facility management costs.</t>
        </is>
      </c>
    </row>
    <row r="284" ht="52" customHeight="1">
      <c r="A284" s="76" t="inlineStr">
        <is>
          <t>267</t>
        </is>
      </c>
      <c r="B284" s="77">
        <f>D2/E2*100</f>
        <v/>
      </c>
      <c r="C284" s="78" t="inlineStr">
        <is>
          <t>Space Utilization %</t>
        </is>
      </c>
      <c r="D284" s="79" t="inlineStr">
        <is>
          <t>Actual used area vs total area.</t>
        </is>
      </c>
      <c r="E284" s="79" t="inlineStr">
        <is>
          <t>Office space use % nikalo.</t>
        </is>
      </c>
      <c r="F284" s="80" t="inlineStr">
        <is>
          <t>Used/Total×100=Space Util %.</t>
        </is>
      </c>
      <c r="G284" s="10" t="inlineStr">
        <is>
          <t>MNC: Real estate optimization.</t>
        </is>
      </c>
    </row>
    <row r="285" ht="26" customHeight="1">
      <c r="A285" s="82" t="inlineStr">
        <is>
          <t xml:space="preserve">  ►  15. R&amp;D / PRODUCT DEVELOPMENT — Anusandhan aur Vikas</t>
        </is>
      </c>
    </row>
    <row r="286" ht="52" customHeight="1">
      <c r="A286" s="11" t="inlineStr">
        <is>
          <t>268</t>
        </is>
      </c>
      <c r="B286" s="12">
        <f>D2/E2*100</f>
        <v/>
      </c>
      <c r="C286" s="13" t="inlineStr">
        <is>
          <t>Project Completion %</t>
        </is>
      </c>
      <c r="D286" s="14" t="inlineStr">
        <is>
          <t>Tasks done vs total.</t>
        </is>
      </c>
      <c r="E286" s="14" t="inlineStr">
        <is>
          <t>Project % complete nikalo.</t>
        </is>
      </c>
      <c r="F286" s="83" t="inlineStr">
        <is>
          <t>Done/Total×100=Completion %.</t>
        </is>
      </c>
      <c r="G286" s="16" t="inlineStr">
        <is>
          <t>MNC: NPD milestone tracking.</t>
        </is>
      </c>
    </row>
    <row r="287" ht="52" customHeight="1">
      <c r="A287" s="32" t="inlineStr">
        <is>
          <t>269</t>
        </is>
      </c>
      <c r="B287" s="33">
        <f>NETWORKDAYS(B2,C2,Holidays!A:A)</f>
        <v/>
      </c>
      <c r="C287" s="34" t="inlineStr">
        <is>
          <t>Project Duration</t>
        </is>
      </c>
      <c r="D287" s="35" t="inlineStr">
        <is>
          <t>Working days for project.</t>
        </is>
      </c>
      <c r="E287" s="35" t="inlineStr">
        <is>
          <t>Project ke actual working days.</t>
        </is>
      </c>
      <c r="F287" s="84" t="inlineStr">
        <is>
          <t>'NETWORKDAYS'=Working days.</t>
        </is>
      </c>
      <c r="G287" s="10" t="inlineStr">
        <is>
          <t>MNC: NPD timeline planning.</t>
        </is>
      </c>
    </row>
    <row r="288" ht="52" customHeight="1">
      <c r="A288" s="11" t="inlineStr">
        <is>
          <t>270</t>
        </is>
      </c>
      <c r="B288" s="12">
        <f>SUM(D2:D20)</f>
        <v/>
      </c>
      <c r="C288" s="13" t="inlineStr">
        <is>
          <t>Total R&amp;D Cost</t>
        </is>
      </c>
      <c r="D288" s="14" t="inlineStr">
        <is>
          <t>Total project expenditure.</t>
        </is>
      </c>
      <c r="E288" s="14" t="inlineStr">
        <is>
          <t>R&amp;D total kharcha nikalo.</t>
        </is>
      </c>
      <c r="F288" s="83" t="inlineStr">
        <is>
          <t>'SUM'=Project total spend.</t>
        </is>
      </c>
      <c r="G288" s="16" t="inlineStr">
        <is>
          <t>MNC: R&amp;D budget tracking.</t>
        </is>
      </c>
    </row>
    <row r="289" ht="52" customHeight="1">
      <c r="A289" s="32" t="inlineStr">
        <is>
          <t>271</t>
        </is>
      </c>
      <c r="B289" s="33">
        <f>D2-TODAY()</f>
        <v/>
      </c>
      <c r="C289" s="34" t="inlineStr">
        <is>
          <t>Days to Launch</t>
        </is>
      </c>
      <c r="D289" s="35" t="inlineStr">
        <is>
          <t>Launch date countdown.</t>
        </is>
      </c>
      <c r="E289" s="35" t="inlineStr">
        <is>
          <t>Launch tak kitne din bache.</t>
        </is>
      </c>
      <c r="F289" s="84" t="inlineStr">
        <is>
          <t>Launch-TODAY()=Days left.</t>
        </is>
      </c>
      <c r="G289" s="10" t="inlineStr">
        <is>
          <t>MNC: NPD launch countdown.</t>
        </is>
      </c>
    </row>
    <row r="290" ht="52" customHeight="1">
      <c r="A290" s="11" t="inlineStr">
        <is>
          <t>272</t>
        </is>
      </c>
      <c r="B290" s="12">
        <f>IF(D2/E2*100&gt;=100,"On Track","Delayed")</f>
        <v/>
      </c>
      <c r="C290" s="13" t="inlineStr">
        <is>
          <t>Project Status</t>
        </is>
      </c>
      <c r="D290" s="14" t="inlineStr">
        <is>
          <t>On track or delayed check.</t>
        </is>
      </c>
      <c r="E290" s="14" t="inlineStr">
        <is>
          <t>Project on track ya delayed.</t>
        </is>
      </c>
      <c r="F290" s="83" t="inlineStr">
        <is>
          <t>IF=% complete → status.</t>
        </is>
      </c>
      <c r="G290" s="16" t="inlineStr">
        <is>
          <t>MNC: Stage gate review status.</t>
        </is>
      </c>
    </row>
    <row r="291" ht="52" customHeight="1">
      <c r="A291" s="32" t="inlineStr">
        <is>
          <t>273</t>
        </is>
      </c>
      <c r="B291" s="33">
        <f>COUNTIF(C:C,"Completed")/COUNTA(C:C)*100</f>
        <v/>
      </c>
      <c r="C291" s="34" t="inlineStr">
        <is>
          <t>Task Done %</t>
        </is>
      </c>
      <c r="D291" s="35" t="inlineStr">
        <is>
          <t>Tasks completed percentage.</t>
        </is>
      </c>
      <c r="E291" s="35" t="inlineStr">
        <is>
          <t>Tasks kitne % done hue.</t>
        </is>
      </c>
      <c r="F291" s="84" t="inlineStr">
        <is>
          <t>Done/Total×100=Task %.</t>
        </is>
      </c>
      <c r="G291" s="10" t="inlineStr">
        <is>
          <t>MNC: Project progress dashboard.</t>
        </is>
      </c>
    </row>
    <row r="292" ht="52" customHeight="1">
      <c r="A292" s="11" t="inlineStr">
        <is>
          <t>274</t>
        </is>
      </c>
      <c r="B292" s="12">
        <f>D2/E2</f>
        <v/>
      </c>
      <c r="C292" s="13" t="inlineStr">
        <is>
          <t>ROI</t>
        </is>
      </c>
      <c r="D292" s="14" t="inlineStr">
        <is>
          <t>Revenue ÷ R&amp;D investment.</t>
        </is>
      </c>
      <c r="E292" s="14" t="inlineStr">
        <is>
          <t>Investment pe return nikalo.</t>
        </is>
      </c>
      <c r="F292" s="83" t="inlineStr">
        <is>
          <t>Revenue/Investment=ROI.</t>
        </is>
      </c>
      <c r="G292" s="16" t="inlineStr">
        <is>
          <t>MNC: R&amp;D investment justification.</t>
        </is>
      </c>
    </row>
    <row r="293" ht="52" customHeight="1">
      <c r="A293" s="32" t="inlineStr">
        <is>
          <t>275</t>
        </is>
      </c>
      <c r="B293" s="33">
        <f>D2/E2*100</f>
        <v/>
      </c>
      <c r="C293" s="34" t="inlineStr">
        <is>
          <t>Budget Spent %</t>
        </is>
      </c>
      <c r="D293" s="35" t="inlineStr">
        <is>
          <t>Actual spend vs approved budget.</t>
        </is>
      </c>
      <c r="E293" s="35" t="inlineStr">
        <is>
          <t>Budget ka % kharcha hua.</t>
        </is>
      </c>
      <c r="F293" s="84" t="inlineStr">
        <is>
          <t>Actual/Budget×100=Spent %.</t>
        </is>
      </c>
      <c r="G293" s="10" t="inlineStr">
        <is>
          <t>MNC: R&amp;D budget burn rate.</t>
        </is>
      </c>
    </row>
    <row r="294" ht="52" customHeight="1">
      <c r="A294" s="11" t="inlineStr">
        <is>
          <t>276</t>
        </is>
      </c>
      <c r="B294" s="12">
        <f>E2-D2</f>
        <v/>
      </c>
      <c r="C294" s="13" t="inlineStr">
        <is>
          <t>Budget Remaining</t>
        </is>
      </c>
      <c r="D294" s="14" t="inlineStr">
        <is>
          <t>Approved budget minus spent.</t>
        </is>
      </c>
      <c r="E294" s="14" t="inlineStr">
        <is>
          <t>Budget mein kitna bacha nikalo.</t>
        </is>
      </c>
      <c r="F294" s="83" t="inlineStr">
        <is>
          <t>Budget-Spent=Remaining.</t>
        </is>
      </c>
      <c r="G294" s="16" t="inlineStr">
        <is>
          <t>MNC: R&amp;D budget balance.</t>
        </is>
      </c>
    </row>
    <row r="295" ht="52" customHeight="1">
      <c r="A295" s="32" t="inlineStr">
        <is>
          <t>277</t>
        </is>
      </c>
      <c r="B295" s="33">
        <f>DATEDIF(B2,C2,"D")</f>
        <v/>
      </c>
      <c r="C295" s="34" t="inlineStr">
        <is>
          <t>Time to Market</t>
        </is>
      </c>
      <c r="D295" s="35" t="inlineStr">
        <is>
          <t>Days from concept to launch.</t>
        </is>
      </c>
      <c r="E295" s="35" t="inlineStr">
        <is>
          <t>Idea se launch tak din nikalo.</t>
        </is>
      </c>
      <c r="F295" s="84" t="inlineStr">
        <is>
          <t>'DATEDIF'=Total days.</t>
        </is>
      </c>
      <c r="G295" s="10" t="inlineStr">
        <is>
          <t>MNC: NPD speed to market KPI.</t>
        </is>
      </c>
    </row>
    <row r="296" ht="52" customHeight="1">
      <c r="A296" s="11" t="inlineStr">
        <is>
          <t>278</t>
        </is>
      </c>
      <c r="B296" s="12">
        <f>COUNTIF(C:C,"Patent Applied")</f>
        <v/>
      </c>
      <c r="C296" s="13" t="inlineStr">
        <is>
          <t>Patents Filed</t>
        </is>
      </c>
      <c r="D296" s="14" t="inlineStr">
        <is>
          <t>Count of patents filed.</t>
        </is>
      </c>
      <c r="E296" s="14" t="inlineStr">
        <is>
          <t>Kitne patents file kiye gino.</t>
        </is>
      </c>
      <c r="F296" s="83" t="inlineStr">
        <is>
          <t>'COUNTIF'=Patent count.</t>
        </is>
      </c>
      <c r="G296" s="16" t="inlineStr">
        <is>
          <t>MNC: IP (Intellectual Property) KPI.</t>
        </is>
      </c>
    </row>
    <row r="297" ht="26" customHeight="1">
      <c r="A297" s="85" t="inlineStr">
        <is>
          <t xml:space="preserve">  ►  16. ACADEMY / TRAINING DEPARTMENT — Prashikshan Vibhag</t>
        </is>
      </c>
    </row>
    <row r="298" ht="52" customHeight="1">
      <c r="A298" s="19" t="inlineStr">
        <is>
          <t>279</t>
        </is>
      </c>
      <c r="B298" s="20">
        <f>COUNTIF(D:D,"Completed")/COUNTA(D:D)*100</f>
        <v/>
      </c>
      <c r="C298" s="21" t="inlineStr">
        <is>
          <t>Completion %</t>
        </is>
      </c>
      <c r="D298" s="22" t="inlineStr">
        <is>
          <t>Training completion percentage.</t>
        </is>
      </c>
      <c r="E298" s="22" t="inlineStr">
        <is>
          <t>Training complete karne wale %.</t>
        </is>
      </c>
      <c r="F298" s="86" t="inlineStr">
        <is>
          <t>Completed/Total×100=%.</t>
        </is>
      </c>
      <c r="G298" s="10" t="inlineStr">
        <is>
          <t>MNC: Monthly training KPI — ISO.</t>
        </is>
      </c>
    </row>
    <row r="299" ht="52" customHeight="1">
      <c r="A299" s="11" t="inlineStr">
        <is>
          <t>280</t>
        </is>
      </c>
      <c r="B299" s="12">
        <f>COUNTIFS(B:B,"Safety",D:D,"Pending")</f>
        <v/>
      </c>
      <c r="C299" s="13" t="inlineStr">
        <is>
          <t>Safety Pending</t>
        </is>
      </c>
      <c r="D299" s="14" t="inlineStr">
        <is>
          <t>Pending safety training count.</t>
        </is>
      </c>
      <c r="E299" s="14" t="inlineStr">
        <is>
          <t>Safety training pending gino.</t>
        </is>
      </c>
      <c r="F299" s="87" t="inlineStr">
        <is>
          <t>'COUNTIFS'=Safety+Pending.</t>
        </is>
      </c>
      <c r="G299" s="16" t="inlineStr">
        <is>
          <t>MNC: Safety compliance gap.</t>
        </is>
      </c>
    </row>
    <row r="300" ht="52" customHeight="1">
      <c r="A300" s="19" t="inlineStr">
        <is>
          <t>281</t>
        </is>
      </c>
      <c r="B300" s="20">
        <f>DATEDIF(B2,TODAY(),"D")</f>
        <v/>
      </c>
      <c r="C300" s="21" t="inlineStr">
        <is>
          <t>Days Since Training</t>
        </is>
      </c>
      <c r="D300" s="22" t="inlineStr">
        <is>
          <t>Days since last training date.</t>
        </is>
      </c>
      <c r="E300" s="22" t="inlineStr">
        <is>
          <t>Last training ke baad din gine.</t>
        </is>
      </c>
      <c r="F300" s="86" t="inlineStr">
        <is>
          <t>'DATEDIF'=Days since training.</t>
        </is>
      </c>
      <c r="G300" s="10" t="inlineStr">
        <is>
          <t>MNC: Training refresh tracking.</t>
        </is>
      </c>
    </row>
    <row r="301" ht="52" customHeight="1">
      <c r="A301" s="11" t="inlineStr">
        <is>
          <t>282</t>
        </is>
      </c>
      <c r="B301" s="12">
        <f>IF(DATEDIF(B2,TODAY(),"D")&gt;365,"Refresh Required","Valid")</f>
        <v/>
      </c>
      <c r="C301" s="13" t="inlineStr">
        <is>
          <t>Training Validity</t>
        </is>
      </c>
      <c r="D301" s="14" t="inlineStr">
        <is>
          <t>1-year training expiry check.</t>
        </is>
      </c>
      <c r="E301" s="14" t="inlineStr">
        <is>
          <t>1 saal se purani training flag.</t>
        </is>
      </c>
      <c r="F301" s="87" t="inlineStr">
        <is>
          <t>IF+DATEDIF=1 year expiry.</t>
        </is>
      </c>
      <c r="G301" s="16" t="inlineStr">
        <is>
          <t>MNC: Annual training renewal.</t>
        </is>
      </c>
    </row>
    <row r="302" ht="52" customHeight="1">
      <c r="A302" s="19" t="inlineStr">
        <is>
          <t>283</t>
        </is>
      </c>
      <c r="B302" s="20">
        <f>D2/E2*100</f>
        <v/>
      </c>
      <c r="C302" s="21" t="inlineStr">
        <is>
          <t>Assessment Score %</t>
        </is>
      </c>
      <c r="D302" s="22" t="inlineStr">
        <is>
          <t>Marks as % of total.</t>
        </is>
      </c>
      <c r="E302" s="22" t="inlineStr">
        <is>
          <t>Assessment score % nikalo.</t>
        </is>
      </c>
      <c r="F302" s="86" t="inlineStr">
        <is>
          <t>Score/Total×100=Score %.</t>
        </is>
      </c>
      <c r="G302" s="10" t="inlineStr">
        <is>
          <t>MNC: Post-training evaluation.</t>
        </is>
      </c>
    </row>
    <row r="303" ht="52" customHeight="1">
      <c r="A303" s="11" t="inlineStr">
        <is>
          <t>284</t>
        </is>
      </c>
      <c r="B303" s="12">
        <f>IF(D2/E2*100&gt;=70,"PASS","FAIL")</f>
        <v/>
      </c>
      <c r="C303" s="13" t="inlineStr">
        <is>
          <t>Pass/Fail</t>
        </is>
      </c>
      <c r="D303" s="14" t="inlineStr">
        <is>
          <t>70% cutoff pass/fail.</t>
        </is>
      </c>
      <c r="E303" s="14" t="inlineStr">
        <is>
          <t>70% marks pe PASS warna FAIL.</t>
        </is>
      </c>
      <c r="F303" s="87" t="inlineStr">
        <is>
          <t>IF=70% threshold.</t>
        </is>
      </c>
      <c r="G303" s="16" t="inlineStr">
        <is>
          <t>MNC: Training assessment result.</t>
        </is>
      </c>
    </row>
    <row r="304" ht="52" customHeight="1">
      <c r="A304" s="19" t="inlineStr">
        <is>
          <t>285</t>
        </is>
      </c>
      <c r="B304" s="20">
        <f>IF(D2&gt;=90,"Distinction",IF(D2&gt;=75,"First Class",IF(D2&gt;=60,"Pass","Fail")))</f>
        <v/>
      </c>
      <c r="C304" s="21" t="inlineStr">
        <is>
          <t>Grade</t>
        </is>
      </c>
      <c r="D304" s="22" t="inlineStr">
        <is>
          <t>Training grade from score.</t>
        </is>
      </c>
      <c r="E304" s="22" t="inlineStr">
        <is>
          <t>Score se grade award karo.</t>
        </is>
      </c>
      <c r="F304" s="86" t="inlineStr">
        <is>
          <t>IF Nested=Score se grade.</t>
        </is>
      </c>
      <c r="G304" s="10" t="inlineStr">
        <is>
          <t>MNC: Academy grade certificate.</t>
        </is>
      </c>
    </row>
    <row r="305" ht="52" customHeight="1">
      <c r="A305" s="11" t="inlineStr">
        <is>
          <t>286</t>
        </is>
      </c>
      <c r="B305" s="12">
        <f>AVERAGE(D2:D100)</f>
        <v/>
      </c>
      <c r="C305" s="13" t="inlineStr">
        <is>
          <t>Avg Score</t>
        </is>
      </c>
      <c r="D305" s="14" t="inlineStr">
        <is>
          <t>Average trainee assessment score.</t>
        </is>
      </c>
      <c r="E305" s="14" t="inlineStr">
        <is>
          <t>Saare trainees ka average score.</t>
        </is>
      </c>
      <c r="F305" s="87" t="inlineStr">
        <is>
          <t>'AVERAGE'=Mean score.</t>
        </is>
      </c>
      <c r="G305" s="16" t="inlineStr">
        <is>
          <t>MNC: Batch effectiveness measure.</t>
        </is>
      </c>
    </row>
    <row r="306" ht="52" customHeight="1">
      <c r="A306" s="19" t="inlineStr">
        <is>
          <t>287</t>
        </is>
      </c>
      <c r="B306" s="20">
        <f>COUNTIF(D:D,"PASS")/COUNTA(D:D)*100</f>
        <v/>
      </c>
      <c r="C306" s="21" t="inlineStr">
        <is>
          <t>Pass Rate %</t>
        </is>
      </c>
      <c r="D306" s="22" t="inlineStr">
        <is>
          <t>% of trainees who passed.</t>
        </is>
      </c>
      <c r="E306" s="22" t="inlineStr">
        <is>
          <t>Pass hone wale trainees %.</t>
        </is>
      </c>
      <c r="F306" s="86" t="inlineStr">
        <is>
          <t>Pass/Total×100=Pass Rate.</t>
        </is>
      </c>
      <c r="G306" s="10" t="inlineStr">
        <is>
          <t>MNC: Program effectiveness KPI.</t>
        </is>
      </c>
    </row>
    <row r="307" ht="52" customHeight="1">
      <c r="A307" s="11" t="inlineStr">
        <is>
          <t>288</t>
        </is>
      </c>
      <c r="B307" s="12">
        <f>D2*E2</f>
        <v/>
      </c>
      <c r="C307" s="13" t="inlineStr">
        <is>
          <t>Training Cost ₹</t>
        </is>
      </c>
      <c r="D307" s="14" t="inlineStr">
        <is>
          <t>Trainees × per head cost.</t>
        </is>
      </c>
      <c r="E307" s="14" t="inlineStr">
        <is>
          <t>Training total cost nikalo.</t>
        </is>
      </c>
      <c r="F307" s="87" t="inlineStr">
        <is>
          <t>Trainees×Cost=Total ₹.</t>
        </is>
      </c>
      <c r="G307" s="16" t="inlineStr">
        <is>
          <t>MNC: Training budget tracking.</t>
        </is>
      </c>
    </row>
    <row r="308" ht="52" customHeight="1">
      <c r="A308" s="19" t="inlineStr">
        <is>
          <t>289</t>
        </is>
      </c>
      <c r="B308" s="20">
        <f>SUMIF(B:B,"Technical",D:D)</f>
        <v/>
      </c>
      <c r="C308" s="21" t="inlineStr">
        <is>
          <t>Hours by Type</t>
        </is>
      </c>
      <c r="D308" s="22" t="inlineStr">
        <is>
          <t>Training hours for a type.</t>
        </is>
      </c>
      <c r="E308" s="22" t="inlineStr">
        <is>
          <t>Ek type ka training hours.</t>
        </is>
      </c>
      <c r="F308" s="86" t="inlineStr">
        <is>
          <t>'SUMIF'=Type filter hours.</t>
        </is>
      </c>
      <c r="G308" s="10" t="inlineStr">
        <is>
          <t>MNC: Mandatory vs voluntary hours.</t>
        </is>
      </c>
    </row>
    <row r="309" ht="52" customHeight="1">
      <c r="A309" s="11" t="inlineStr">
        <is>
          <t>290</t>
        </is>
      </c>
      <c r="B309" s="12">
        <f>COUNTA(D2:D100)</f>
        <v/>
      </c>
      <c r="C309" s="13" t="inlineStr">
        <is>
          <t>Trainees Count</t>
        </is>
      </c>
      <c r="D309" s="14" t="inlineStr">
        <is>
          <t>Total employees trained.</t>
        </is>
      </c>
      <c r="E309" s="14" t="inlineStr">
        <is>
          <t>Kitne employees trained hue.</t>
        </is>
      </c>
      <c r="F309" s="87" t="inlineStr">
        <is>
          <t>'COUNTA'=Trained count.</t>
        </is>
      </c>
      <c r="G309" s="16" t="inlineStr">
        <is>
          <t>MNC: Training reach/coverage.</t>
        </is>
      </c>
    </row>
    <row r="310" ht="52" customHeight="1">
      <c r="A310" s="19" t="inlineStr">
        <is>
          <t>291</t>
        </is>
      </c>
      <c r="B310" s="20">
        <f>D2/E2</f>
        <v/>
      </c>
      <c r="C310" s="21" t="inlineStr">
        <is>
          <t>Hours per Employee</t>
        </is>
      </c>
      <c r="D310" s="22" t="inlineStr">
        <is>
          <t>Training hours per person.</t>
        </is>
      </c>
      <c r="E310" s="22" t="inlineStr">
        <is>
          <t>Per employee training hours.</t>
        </is>
      </c>
      <c r="F310" s="86" t="inlineStr">
        <is>
          <t>Hours/Employees=Per Head.</t>
        </is>
      </c>
      <c r="G310" s="10" t="inlineStr">
        <is>
          <t>MNC: Training intensity KPI.</t>
        </is>
      </c>
    </row>
    <row r="311" ht="52" customHeight="1">
      <c r="A311" s="11" t="inlineStr">
        <is>
          <t>292</t>
        </is>
      </c>
      <c r="B311" s="12">
        <f>RANK(D2,D$2:D$50,0)</f>
        <v/>
      </c>
      <c r="C311" s="13" t="inlineStr">
        <is>
          <t>Trainee Rank</t>
        </is>
      </c>
      <c r="D311" s="14" t="inlineStr">
        <is>
          <t>Rank by assessment score.</t>
        </is>
      </c>
      <c r="E311" s="14" t="inlineStr">
        <is>
          <t>Score se trainee rank.</t>
        </is>
      </c>
      <c r="F311" s="87" t="inlineStr">
        <is>
          <t>'RANK'=Score rank.</t>
        </is>
      </c>
      <c r="G311" s="16" t="inlineStr">
        <is>
          <t>MNC: Batch merit list / topper.</t>
        </is>
      </c>
    </row>
    <row r="312" ht="52" customHeight="1">
      <c r="A312" s="19" t="inlineStr">
        <is>
          <t>293</t>
        </is>
      </c>
      <c r="B312" s="20">
        <f>IF(COUNTIF(D$2:D2,D2)&gt;1,"Repeat","New")</f>
        <v/>
      </c>
      <c r="C312" s="21" t="inlineStr">
        <is>
          <t>Repeat Trainee</t>
        </is>
      </c>
      <c r="D312" s="22" t="inlineStr">
        <is>
          <t>Identifies repeat attendees.</t>
        </is>
      </c>
      <c r="E312" s="22" t="inlineStr">
        <is>
          <t>Pehle bhi aaya tha ya nahi.</t>
        </is>
      </c>
      <c r="F312" s="86" t="inlineStr">
        <is>
          <t>COUNTIF&gt;1=Repeat trainee.</t>
        </is>
      </c>
      <c r="G312" s="10" t="inlineStr">
        <is>
          <t>MNC: Training records deduplication.</t>
        </is>
      </c>
    </row>
    <row r="313" ht="52" customHeight="1">
      <c r="A313" s="11" t="inlineStr">
        <is>
          <t>294</t>
        </is>
      </c>
      <c r="B313" s="12">
        <f>D2/E2*100</f>
        <v/>
      </c>
      <c r="C313" s="13" t="inlineStr">
        <is>
          <t>Effectiveness Score</t>
        </is>
      </c>
      <c r="D313" s="14" t="inlineStr">
        <is>
          <t>Post-training performance change.</t>
        </is>
      </c>
      <c r="E313" s="14" t="inlineStr">
        <is>
          <t>Training ke baad performance % change.</t>
        </is>
      </c>
      <c r="F313" s="87" t="inlineStr">
        <is>
          <t>Post/Pre×100=Effectiveness.</t>
        </is>
      </c>
      <c r="G313" s="16" t="inlineStr">
        <is>
          <t>MNC: Kirkpatrick Level 3 evaluation.</t>
        </is>
      </c>
    </row>
    <row r="314" ht="52" customHeight="1">
      <c r="A314" s="19" t="inlineStr">
        <is>
          <t>295</t>
        </is>
      </c>
      <c r="B314" s="20">
        <f>SUMIF(B:B,"E-Learning",D:D)</f>
        <v/>
      </c>
      <c r="C314" s="21" t="inlineStr">
        <is>
          <t>E-Learning Hours</t>
        </is>
      </c>
      <c r="D314" s="22" t="inlineStr">
        <is>
          <t>Total e-learning hours consumed.</t>
        </is>
      </c>
      <c r="E314" s="22" t="inlineStr">
        <is>
          <t>E-learning ke total hours nikalo.</t>
        </is>
      </c>
      <c r="F314" s="86" t="inlineStr">
        <is>
          <t>'SUMIF'=E-learning filter.</t>
        </is>
      </c>
      <c r="G314" s="10" t="inlineStr">
        <is>
          <t>MNC: Digital learning hours KPI.</t>
        </is>
      </c>
    </row>
    <row r="315" ht="52" customHeight="1">
      <c r="A315" s="11" t="inlineStr">
        <is>
          <t>296</t>
        </is>
      </c>
      <c r="B315" s="12">
        <f>D2-E2</f>
        <v/>
      </c>
      <c r="C315" s="13" t="inlineStr">
        <is>
          <t>Training Budget Var</t>
        </is>
      </c>
      <c r="D315" s="14" t="inlineStr">
        <is>
          <t>Actual vs planned training cost.</t>
        </is>
      </c>
      <c r="E315" s="14" t="inlineStr">
        <is>
          <t>Training budget vs actual farq.</t>
        </is>
      </c>
      <c r="F315" s="87" t="inlineStr">
        <is>
          <t>Actual-Budget=Variance.</t>
        </is>
      </c>
      <c r="G315" s="16" t="inlineStr">
        <is>
          <t>MNC: L&amp;D budget variance.</t>
        </is>
      </c>
    </row>
    <row r="316" ht="26" customHeight="1">
      <c r="A316" s="88" t="inlineStr">
        <is>
          <t xml:space="preserve">  ►  17. ENVIRONMENTAL / EHS — Paryavaran aur Harit Vibhag</t>
        </is>
      </c>
    </row>
    <row r="317" ht="52" customHeight="1">
      <c r="A317" s="89" t="inlineStr">
        <is>
          <t>297</t>
        </is>
      </c>
      <c r="B317" s="90">
        <f>D2*E2</f>
        <v/>
      </c>
      <c r="C317" s="91" t="inlineStr">
        <is>
          <t>Carbon Emission</t>
        </is>
      </c>
      <c r="D317" s="92" t="inlineStr">
        <is>
          <t>Activity × emission factor = CO2.</t>
        </is>
      </c>
      <c r="E317" s="92" t="inlineStr">
        <is>
          <t>Carbon emission calculate karo.</t>
        </is>
      </c>
      <c r="F317" s="93" t="inlineStr">
        <is>
          <t>Qty×Factor=CO2 tonnes.</t>
        </is>
      </c>
      <c r="G317" s="10" t="inlineStr">
        <is>
          <t>MNC: GHG Scope 1/2/3 tracking.</t>
        </is>
      </c>
    </row>
    <row r="318" ht="52" customHeight="1">
      <c r="A318" s="11" t="inlineStr">
        <is>
          <t>298</t>
        </is>
      </c>
      <c r="B318" s="12">
        <f>SUM(D2:D12)</f>
        <v/>
      </c>
      <c r="C318" s="13" t="inlineStr">
        <is>
          <t>Annual Emission</t>
        </is>
      </c>
      <c r="D318" s="14" t="inlineStr">
        <is>
          <t>Total annual CO2 emission.</t>
        </is>
      </c>
      <c r="E318" s="14" t="inlineStr">
        <is>
          <t>Annual CO2 total jodo.</t>
        </is>
      </c>
      <c r="F318" s="94" t="inlineStr">
        <is>
          <t>'SUM'=Annual CO2.</t>
        </is>
      </c>
      <c r="G318" s="16" t="inlineStr">
        <is>
          <t>MNC: Sustainability report.</t>
        </is>
      </c>
    </row>
    <row r="319" ht="52" customHeight="1">
      <c r="A319" s="89" t="inlineStr">
        <is>
          <t>299</t>
        </is>
      </c>
      <c r="B319" s="90">
        <f>(D2-E2)/D2*100</f>
        <v/>
      </c>
      <c r="C319" s="91" t="inlineStr">
        <is>
          <t>Emission Reduction %</t>
        </is>
      </c>
      <c r="D319" s="92" t="inlineStr">
        <is>
          <t>Reduction vs baseline.</t>
        </is>
      </c>
      <c r="E319" s="92" t="inlineStr">
        <is>
          <t>Baseline se emission kam hua %.</t>
        </is>
      </c>
      <c r="F319" s="93" t="inlineStr">
        <is>
          <t>(Base-Current)/Base×100=Reduc %.</t>
        </is>
      </c>
      <c r="G319" s="10" t="inlineStr">
        <is>
          <t>MNC: ESG emission target KPI.</t>
        </is>
      </c>
    </row>
    <row r="320" ht="52" customHeight="1">
      <c r="A320" s="11" t="inlineStr">
        <is>
          <t>300</t>
        </is>
      </c>
      <c r="B320" s="12">
        <f>D2/E2*100</f>
        <v/>
      </c>
      <c r="C320" s="13" t="inlineStr">
        <is>
          <t>Recycling Rate %</t>
        </is>
      </c>
      <c r="D320" s="14" t="inlineStr">
        <is>
          <t>Waste recycled as % of total.</t>
        </is>
      </c>
      <c r="E320" s="14" t="inlineStr">
        <is>
          <t>Recycling % nikalo.</t>
        </is>
      </c>
      <c r="F320" s="94" t="inlineStr">
        <is>
          <t>Recycled/Total×100=Recycling %.</t>
        </is>
      </c>
      <c r="G320" s="16" t="inlineStr">
        <is>
          <t>MNC: Zero waste to landfill KPI.</t>
        </is>
      </c>
    </row>
    <row r="321" ht="52" customHeight="1">
      <c r="A321" s="89" t="inlineStr">
        <is>
          <t>301</t>
        </is>
      </c>
      <c r="B321" s="90">
        <f>IF(D2/E2*100&gt;=80,"Green",IF(D2/E2*100&gt;=60,"Yellow","Red"))</f>
        <v/>
      </c>
      <c r="C321" s="91" t="inlineStr">
        <is>
          <t>EHS Color</t>
        </is>
      </c>
      <c r="D321" s="92" t="inlineStr">
        <is>
          <t>EHS compliance traffic light.</t>
        </is>
      </c>
      <c r="E321" s="92" t="inlineStr">
        <is>
          <t>EHS score se color assign.</t>
        </is>
      </c>
      <c r="F321" s="93" t="inlineStr">
        <is>
          <t>IF=Score → traffic light.</t>
        </is>
      </c>
      <c r="G321" s="10" t="inlineStr">
        <is>
          <t>MNC: EHS compliance dashboard.</t>
        </is>
      </c>
    </row>
    <row r="322" ht="52" customHeight="1">
      <c r="A322" s="11" t="inlineStr">
        <is>
          <t>302</t>
        </is>
      </c>
      <c r="B322" s="12">
        <f>D2-E2</f>
        <v/>
      </c>
      <c r="C322" s="13" t="inlineStr">
        <is>
          <t>Water Saved KL</t>
        </is>
      </c>
      <c r="D322" s="14" t="inlineStr">
        <is>
          <t>Target minus actual = saved.</t>
        </is>
      </c>
      <c r="E322" s="14" t="inlineStr">
        <is>
          <t>Target se kam paani use = saved.</t>
        </is>
      </c>
      <c r="F322" s="94" t="inlineStr">
        <is>
          <t>Target-Actual=Water Saved.</t>
        </is>
      </c>
      <c r="G322" s="16" t="inlineStr">
        <is>
          <t>MNC: Water conservation KPI.</t>
        </is>
      </c>
    </row>
    <row r="323" ht="52" customHeight="1">
      <c r="A323" s="89" t="inlineStr">
        <is>
          <t>303</t>
        </is>
      </c>
      <c r="B323" s="90">
        <f>COUNTIF(C:C,"Non-Compliance")</f>
        <v/>
      </c>
      <c r="C323" s="91" t="inlineStr">
        <is>
          <t>Non-Compliance</t>
        </is>
      </c>
      <c r="D323" s="92" t="inlineStr">
        <is>
          <t>Environmental violations count.</t>
        </is>
      </c>
      <c r="E323" s="92" t="inlineStr">
        <is>
          <t>Non-compliance incidents gino.</t>
        </is>
      </c>
      <c r="F323" s="93" t="inlineStr">
        <is>
          <t>'COUNTIF'=Non-compliance count.</t>
        </is>
      </c>
      <c r="G323" s="10" t="inlineStr">
        <is>
          <t>MNC: Pollution control legal.</t>
        </is>
      </c>
    </row>
    <row r="324" ht="52" customHeight="1">
      <c r="A324" s="11" t="inlineStr">
        <is>
          <t>304</t>
        </is>
      </c>
      <c r="B324" s="12">
        <f>D2/E2*1000</f>
        <v/>
      </c>
      <c r="C324" s="13" t="inlineStr">
        <is>
          <t>Waste per Unit</t>
        </is>
      </c>
      <c r="D324" s="14" t="inlineStr">
        <is>
          <t>Waste generated per unit produced.</t>
        </is>
      </c>
      <c r="E324" s="14" t="inlineStr">
        <is>
          <t>Per unit waste generation.</t>
        </is>
      </c>
      <c r="F324" s="94" t="inlineStr">
        <is>
          <t>Waste/Production×1000=kg/unit.</t>
        </is>
      </c>
      <c r="G324" s="16" t="inlineStr">
        <is>
          <t>MNC: Specific waste generation KPI.</t>
        </is>
      </c>
    </row>
    <row r="325" ht="52" customHeight="1">
      <c r="A325" s="89" t="inlineStr">
        <is>
          <t>305</t>
        </is>
      </c>
      <c r="B325" s="90">
        <f>D2*E2</f>
        <v/>
      </c>
      <c r="C325" s="91" t="inlineStr">
        <is>
          <t>Waste Disposal Cost</t>
        </is>
      </c>
      <c r="D325" s="92" t="inlineStr">
        <is>
          <t>Waste weight × disposal rate.</t>
        </is>
      </c>
      <c r="E325" s="92" t="inlineStr">
        <is>
          <t>Waste disposal cost nikalo.</t>
        </is>
      </c>
      <c r="F325" s="93" t="inlineStr">
        <is>
          <t>Weight×Rate=Disposal Cost ₹.</t>
        </is>
      </c>
      <c r="G325" s="10" t="inlineStr">
        <is>
          <t>MNC: Waste management budget.</t>
        </is>
      </c>
    </row>
    <row r="326" ht="52" customHeight="1">
      <c r="A326" s="11" t="inlineStr">
        <is>
          <t>306</t>
        </is>
      </c>
      <c r="B326" s="12">
        <f>SUMIF(B:B,"Hazardous",D:D)</f>
        <v/>
      </c>
      <c r="C326" s="13" t="inlineStr">
        <is>
          <t>Hazardous Waste</t>
        </is>
      </c>
      <c r="D326" s="14" t="inlineStr">
        <is>
          <t>Total hazardous waste generated.</t>
        </is>
      </c>
      <c r="E326" s="14" t="inlineStr">
        <is>
          <t>Hazardous waste total nikalo.</t>
        </is>
      </c>
      <c r="F326" s="94" t="inlineStr">
        <is>
          <t>'SUMIF'=Hazardous filter sum.</t>
        </is>
      </c>
      <c r="G326" s="16" t="inlineStr">
        <is>
          <t>MNC: CPCB hazardous waste reporting.</t>
        </is>
      </c>
    </row>
    <row r="327" ht="52" customHeight="1">
      <c r="A327" s="89" t="inlineStr">
        <is>
          <t>307</t>
        </is>
      </c>
      <c r="B327" s="90">
        <f>(D2-E2)/D2*100</f>
        <v/>
      </c>
      <c r="C327" s="91" t="inlineStr">
        <is>
          <t>Water Reduction %</t>
        </is>
      </c>
      <c r="D327" s="92" t="inlineStr">
        <is>
          <t>Water use reduction vs baseline.</t>
        </is>
      </c>
      <c r="E327" s="92" t="inlineStr">
        <is>
          <t>Baseline se paani ka use % kam.</t>
        </is>
      </c>
      <c r="F327" s="93" t="inlineStr">
        <is>
          <t>(Base-Current)/Base×100=Reduc.</t>
        </is>
      </c>
      <c r="G327" s="10" t="inlineStr">
        <is>
          <t>MNC: Water conservation target KPI.</t>
        </is>
      </c>
    </row>
    <row r="328" ht="52" customHeight="1">
      <c r="A328" s="11" t="inlineStr">
        <is>
          <t>308</t>
        </is>
      </c>
      <c r="B328" s="12">
        <f>D2/E2</f>
        <v/>
      </c>
      <c r="C328" s="13" t="inlineStr">
        <is>
          <t>Energy Intensity</t>
        </is>
      </c>
      <c r="D328" s="14" t="inlineStr">
        <is>
          <t>Energy per ₹ of revenue.</t>
        </is>
      </c>
      <c r="E328" s="14" t="inlineStr">
        <is>
          <t>Revenue per unit energy nikalo.</t>
        </is>
      </c>
      <c r="F328" s="94" t="inlineStr">
        <is>
          <t>Energy/Revenue=Intensity.</t>
        </is>
      </c>
      <c r="G328" s="16" t="inlineStr">
        <is>
          <t>MNC: Carbon intensity — ESG report.</t>
        </is>
      </c>
    </row>
    <row r="329" ht="52" customHeight="1">
      <c r="A329" s="89" t="inlineStr">
        <is>
          <t>309</t>
        </is>
      </c>
      <c r="B329" s="90">
        <f>COUNTIF(C:C,"Audit Passed")</f>
        <v/>
      </c>
      <c r="C329" s="91" t="inlineStr">
        <is>
          <t>Audit Pass Count</t>
        </is>
      </c>
      <c r="D329" s="92" t="inlineStr">
        <is>
          <t>Environmental audits passed.</t>
        </is>
      </c>
      <c r="E329" s="92" t="inlineStr">
        <is>
          <t>Environmental audits passed gino.</t>
        </is>
      </c>
      <c r="F329" s="93" t="inlineStr">
        <is>
          <t>'COUNTIF'=Audit passed count.</t>
        </is>
      </c>
      <c r="G329" s="10" t="inlineStr">
        <is>
          <t>MNC: ISO 14001 audit compliance.</t>
        </is>
      </c>
    </row>
    <row r="330" ht="26" customHeight="1">
      <c r="A330" s="95" t="inlineStr">
        <is>
          <t xml:space="preserve">  ►  18. COSTING DEPARTMENT — Lagat Vibhag</t>
        </is>
      </c>
    </row>
    <row r="331" ht="52" customHeight="1">
      <c r="A331" s="11" t="inlineStr">
        <is>
          <t>310</t>
        </is>
      </c>
      <c r="B331" s="12">
        <f>D2+E2+F2</f>
        <v/>
      </c>
      <c r="C331" s="13" t="inlineStr">
        <is>
          <t>Total Product Cost</t>
        </is>
      </c>
      <c r="D331" s="14" t="inlineStr">
        <is>
          <t>RM + Labour + Overhead = cost.</t>
        </is>
      </c>
      <c r="E331" s="14" t="inlineStr">
        <is>
          <t>RM + Labour + Overhead = product cost.</t>
        </is>
      </c>
      <c r="F331" s="96" t="inlineStr">
        <is>
          <t>RM+Labour+OH=Total Cost.</t>
        </is>
      </c>
      <c r="G331" s="16" t="inlineStr">
        <is>
          <t>MNC: Product costing — BOM based.</t>
        </is>
      </c>
    </row>
    <row r="332" ht="52" customHeight="1">
      <c r="A332" s="97" t="inlineStr">
        <is>
          <t>311</t>
        </is>
      </c>
      <c r="B332" s="98">
        <f>D2/E2*100</f>
        <v/>
      </c>
      <c r="C332" s="99" t="inlineStr">
        <is>
          <t>RM Cost %</t>
        </is>
      </c>
      <c r="D332" s="100" t="inlineStr">
        <is>
          <t>Raw material as % of product cost.</t>
        </is>
      </c>
      <c r="E332" s="100" t="inlineStr">
        <is>
          <t>RM cost ka % of total nikalo.</t>
        </is>
      </c>
      <c r="F332" s="101" t="inlineStr">
        <is>
          <t>RM/Total×100=RM Cost %.</t>
        </is>
      </c>
      <c r="G332" s="10" t="inlineStr">
        <is>
          <t>MNC: Cost structure analysis.</t>
        </is>
      </c>
    </row>
    <row r="333" ht="52" customHeight="1">
      <c r="A333" s="11" t="inlineStr">
        <is>
          <t>312</t>
        </is>
      </c>
      <c r="B333" s="12">
        <f>D2/E2</f>
        <v/>
      </c>
      <c r="C333" s="13" t="inlineStr">
        <is>
          <t>Cost per Unit</t>
        </is>
      </c>
      <c r="D333" s="14" t="inlineStr">
        <is>
          <t>Total cost ÷ units produced.</t>
        </is>
      </c>
      <c r="E333" s="14" t="inlineStr">
        <is>
          <t>Per unit manufacturing cost.</t>
        </is>
      </c>
      <c r="F333" s="96" t="inlineStr">
        <is>
          <t>Total Cost/Units=Per Unit.</t>
        </is>
      </c>
      <c r="G333" s="16" t="inlineStr">
        <is>
          <t>MNC: Standard cost vs actual.</t>
        </is>
      </c>
    </row>
    <row r="334" ht="52" customHeight="1">
      <c r="A334" s="97" t="inlineStr">
        <is>
          <t>313</t>
        </is>
      </c>
      <c r="B334" s="98">
        <f>(D2-E2)/E2*100</f>
        <v/>
      </c>
      <c r="C334" s="99" t="inlineStr">
        <is>
          <t>Cost Variance %</t>
        </is>
      </c>
      <c r="D334" s="100" t="inlineStr">
        <is>
          <t>Standard vs actual cost variance.</t>
        </is>
      </c>
      <c r="E334" s="100" t="inlineStr">
        <is>
          <t>Standard aur actual cost farq %.</t>
        </is>
      </c>
      <c r="F334" s="101" t="inlineStr">
        <is>
          <t>(Actual-Std)/Std×100=Variance.</t>
        </is>
      </c>
      <c r="G334" s="10" t="inlineStr">
        <is>
          <t>MNC: Cost variance analysis.</t>
        </is>
      </c>
    </row>
    <row r="335" ht="52" customHeight="1">
      <c r="A335" s="11" t="inlineStr">
        <is>
          <t>314</t>
        </is>
      </c>
      <c r="B335" s="12">
        <f>D2*E2/100</f>
        <v/>
      </c>
      <c r="C335" s="13" t="inlineStr">
        <is>
          <t>Overhead Absorption</t>
        </is>
      </c>
      <c r="D335" s="14" t="inlineStr">
        <is>
          <t>Units × overhead rate = absorbed OH.</t>
        </is>
      </c>
      <c r="E335" s="14" t="inlineStr">
        <is>
          <t>Overhead absorption calculate karo.</t>
        </is>
      </c>
      <c r="F335" s="96" t="inlineStr">
        <is>
          <t>Units×OH Rate/100=Absorbed OH.</t>
        </is>
      </c>
      <c r="G335" s="16" t="inlineStr">
        <is>
          <t>MNC: Factory overhead absorption.</t>
        </is>
      </c>
    </row>
    <row r="336" ht="52" customHeight="1">
      <c r="A336" s="97" t="inlineStr">
        <is>
          <t>315</t>
        </is>
      </c>
      <c r="B336" s="98">
        <f>D2-E2</f>
        <v/>
      </c>
      <c r="C336" s="99" t="inlineStr">
        <is>
          <t>Over/Under Absorption</t>
        </is>
      </c>
      <c r="D336" s="100" t="inlineStr">
        <is>
          <t>Absorbed minus actual overhead.</t>
        </is>
      </c>
      <c r="E336" s="100" t="inlineStr">
        <is>
          <t>Overhead over ya under absorbed.</t>
        </is>
      </c>
      <c r="F336" s="101" t="inlineStr">
        <is>
          <t>Absorbed-Actual=Over/Under.</t>
        </is>
      </c>
      <c r="G336" s="10" t="inlineStr">
        <is>
          <t>MNC: Overhead variance — MIS.</t>
        </is>
      </c>
    </row>
    <row r="337" ht="52" customHeight="1">
      <c r="A337" s="11" t="inlineStr">
        <is>
          <t>316</t>
        </is>
      </c>
      <c r="B337" s="12">
        <f>D2/E2*100</f>
        <v/>
      </c>
      <c r="C337" s="13" t="inlineStr">
        <is>
          <t>Gross Margin %</t>
        </is>
      </c>
      <c r="D337" s="14" t="inlineStr">
        <is>
          <t>(Revenue-COGS)/Revenue × 100.</t>
        </is>
      </c>
      <c r="E337" s="14" t="inlineStr">
        <is>
          <t>Gross margin % nikalo.</t>
        </is>
      </c>
      <c r="F337" s="96" t="inlineStr">
        <is>
          <t>(Rev-COGS)/Rev×100=GM %.</t>
        </is>
      </c>
      <c r="G337" s="16" t="inlineStr">
        <is>
          <t>MNC: Product profitability analysis.</t>
        </is>
      </c>
    </row>
    <row r="338" ht="52" customHeight="1">
      <c r="A338" s="97" t="inlineStr">
        <is>
          <t>317</t>
        </is>
      </c>
      <c r="B338" s="98">
        <f>D2/E2*100</f>
        <v/>
      </c>
      <c r="C338" s="99" t="inlineStr">
        <is>
          <t>Contribution Margin %</t>
        </is>
      </c>
      <c r="D338" s="100" t="inlineStr">
        <is>
          <t>(Revenue-Variable Cost)/Revenue.</t>
        </is>
      </c>
      <c r="E338" s="100" t="inlineStr">
        <is>
          <t>Contribution margin % nikalo.</t>
        </is>
      </c>
      <c r="F338" s="101" t="inlineStr">
        <is>
          <t>(Rev-VarCost)/Rev×100=CM %.</t>
        </is>
      </c>
      <c r="G338" s="10" t="inlineStr">
        <is>
          <t>MNC: Marginal costing analysis.</t>
        </is>
      </c>
    </row>
    <row r="339" ht="52" customHeight="1">
      <c r="A339" s="11" t="inlineStr">
        <is>
          <t>318</t>
        </is>
      </c>
      <c r="B339" s="12">
        <f>D2/E2</f>
        <v/>
      </c>
      <c r="C339" s="13" t="inlineStr">
        <is>
          <t>Break Even Units</t>
        </is>
      </c>
      <c r="D339" s="14" t="inlineStr">
        <is>
          <t>Fixed cost ÷ contribution per unit.</t>
        </is>
      </c>
      <c r="E339" s="14" t="inlineStr">
        <is>
          <t>Break-even production nikalo.</t>
        </is>
      </c>
      <c r="F339" s="96" t="inlineStr">
        <is>
          <t>Fixed Cost/CM per Unit=BEP.</t>
        </is>
      </c>
      <c r="G339" s="16" t="inlineStr">
        <is>
          <t>MNC: Break-even analysis.</t>
        </is>
      </c>
    </row>
    <row r="340" ht="52" customHeight="1">
      <c r="A340" s="97" t="inlineStr">
        <is>
          <t>319</t>
        </is>
      </c>
      <c r="B340" s="98">
        <f>D2*E2</f>
        <v/>
      </c>
      <c r="C340" s="99" t="inlineStr">
        <is>
          <t>Standard Material Cost</t>
        </is>
      </c>
      <c r="D340" s="100" t="inlineStr">
        <is>
          <t>Standard qty × standard price.</t>
        </is>
      </c>
      <c r="E340" s="100" t="inlineStr">
        <is>
          <t>Standard material cost nikalo.</t>
        </is>
      </c>
      <c r="F340" s="101" t="inlineStr">
        <is>
          <t>Std Qty×Std Price=Std Cost.</t>
        </is>
      </c>
      <c r="G340" s="10" t="inlineStr">
        <is>
          <t>MNC: Standard costing — variance.</t>
        </is>
      </c>
    </row>
    <row r="341" ht="52" customHeight="1">
      <c r="A341" s="11" t="inlineStr">
        <is>
          <t>320</t>
        </is>
      </c>
      <c r="B341" s="12">
        <f>D2-E2</f>
        <v/>
      </c>
      <c r="C341" s="13" t="inlineStr">
        <is>
          <t>Material Price Variance</t>
        </is>
      </c>
      <c r="D341" s="14" t="inlineStr">
        <is>
          <t>Actual vs standard material price.</t>
        </is>
      </c>
      <c r="E341" s="14" t="inlineStr">
        <is>
          <t>Material price variance nikalo.</t>
        </is>
      </c>
      <c r="F341" s="96" t="inlineStr">
        <is>
          <t>Actual-Standard=Variance.</t>
        </is>
      </c>
      <c r="G341" s="16" t="inlineStr">
        <is>
          <t>MNC: Purchase price variance report.</t>
        </is>
      </c>
    </row>
    <row r="342" ht="52" customHeight="1">
      <c r="A342" s="97" t="inlineStr">
        <is>
          <t>321</t>
        </is>
      </c>
      <c r="B342" s="98">
        <f>D2*E2/D2</f>
        <v/>
      </c>
      <c r="C342" s="99" t="inlineStr">
        <is>
          <t>Labour Rate per Hour</t>
        </is>
      </c>
      <c r="D342" s="100" t="inlineStr">
        <is>
          <t>Total labour cost ÷ hours worked.</t>
        </is>
      </c>
      <c r="E342" s="100" t="inlineStr">
        <is>
          <t>Per hour labour cost nikalo.</t>
        </is>
      </c>
      <c r="F342" s="101" t="inlineStr">
        <is>
          <t>Labour Cost/Hours=Rate/Hr.</t>
        </is>
      </c>
      <c r="G342" s="10" t="inlineStr">
        <is>
          <t>MNC: Labour productivity costing.</t>
        </is>
      </c>
    </row>
    <row r="343" ht="52" customHeight="1">
      <c r="A343" s="11" t="inlineStr">
        <is>
          <t>322</t>
        </is>
      </c>
      <c r="B343" s="12">
        <f>D2/E2*100</f>
        <v/>
      </c>
      <c r="C343" s="13" t="inlineStr">
        <is>
          <t>Machine Cost %</t>
        </is>
      </c>
      <c r="D343" s="14" t="inlineStr">
        <is>
          <t>Machine cost as % of total.</t>
        </is>
      </c>
      <c r="E343" s="14" t="inlineStr">
        <is>
          <t>Machine cost ka % nikalo.</t>
        </is>
      </c>
      <c r="F343" s="96" t="inlineStr">
        <is>
          <t>Machine/Total×100=Machine %.</t>
        </is>
      </c>
      <c r="G343" s="16" t="inlineStr">
        <is>
          <t>MNC: Automation ROI analysis.</t>
        </is>
      </c>
    </row>
    <row r="344" ht="52" customHeight="1">
      <c r="A344" s="97" t="inlineStr">
        <is>
          <t>323</t>
        </is>
      </c>
      <c r="B344" s="98">
        <f>D2*12</f>
        <v/>
      </c>
      <c r="C344" s="99" t="inlineStr">
        <is>
          <t>Annual Fixed Cost</t>
        </is>
      </c>
      <c r="D344" s="100" t="inlineStr">
        <is>
          <t>Monthly fixed cost × 12.</t>
        </is>
      </c>
      <c r="E344" s="100" t="inlineStr">
        <is>
          <t>Monthly fixed cost × 12.</t>
        </is>
      </c>
      <c r="F344" s="101" t="inlineStr">
        <is>
          <t>Monthly×12=Annual Fixed Cost.</t>
        </is>
      </c>
      <c r="G344" s="10" t="inlineStr">
        <is>
          <t>MNC: Annual budget — fixed costs.</t>
        </is>
      </c>
    </row>
    <row r="345" ht="26" customHeight="1">
      <c r="A345" s="102" t="inlineStr">
        <is>
          <t xml:space="preserve">  ►  19. CUSTOMER SERVICE — Grahak Seva Vibhag</t>
        </is>
      </c>
    </row>
    <row r="346" ht="52" customHeight="1">
      <c r="A346" s="11" t="inlineStr">
        <is>
          <t>324</t>
        </is>
      </c>
      <c r="B346" s="12">
        <f>COUNTIF(C:C,"Resolved")/COUNTA(C:C)*100</f>
        <v/>
      </c>
      <c r="C346" s="13" t="inlineStr">
        <is>
          <t>Resolution Rate %</t>
        </is>
      </c>
      <c r="D346" s="14" t="inlineStr">
        <is>
          <t>% of complaints resolved.</t>
        </is>
      </c>
      <c r="E346" s="14" t="inlineStr">
        <is>
          <t>Complaints kitne % resolve hue.</t>
        </is>
      </c>
      <c r="F346" s="103" t="inlineStr">
        <is>
          <t>Resolved/Total×100=Res %.</t>
        </is>
      </c>
      <c r="G346" s="16" t="inlineStr">
        <is>
          <t>MNC: Customer service KPI.</t>
        </is>
      </c>
    </row>
    <row r="347" ht="52" customHeight="1">
      <c r="A347" s="104" t="inlineStr">
        <is>
          <t>325</t>
        </is>
      </c>
      <c r="B347" s="105">
        <f>AVERAGE(D:D)</f>
        <v/>
      </c>
      <c r="C347" s="106" t="inlineStr">
        <is>
          <t>Avg Handling Time</t>
        </is>
      </c>
      <c r="D347" s="107" t="inlineStr">
        <is>
          <t>Average call/ticket handling time.</t>
        </is>
      </c>
      <c r="E347" s="107" t="inlineStr">
        <is>
          <t>Average handling time nikalo.</t>
        </is>
      </c>
      <c r="F347" s="108" t="inlineStr">
        <is>
          <t>'AVERAGE'=AHT (Average Handle Time).</t>
        </is>
      </c>
      <c r="G347" s="10" t="inlineStr">
        <is>
          <t>MNC: Call center efficiency KPI.</t>
        </is>
      </c>
    </row>
    <row r="348" ht="52" customHeight="1">
      <c r="A348" s="11" t="inlineStr">
        <is>
          <t>326</t>
        </is>
      </c>
      <c r="B348" s="12">
        <f>DATEDIF(B2,C2,"D")</f>
        <v/>
      </c>
      <c r="C348" s="13" t="inlineStr">
        <is>
          <t>TAT Days</t>
        </is>
      </c>
      <c r="D348" s="14" t="inlineStr">
        <is>
          <t>Complaint resolution TAT.</t>
        </is>
      </c>
      <c r="E348" s="14" t="inlineStr">
        <is>
          <t>Complaint close hone ka TAT.</t>
        </is>
      </c>
      <c r="F348" s="103" t="inlineStr">
        <is>
          <t>'DATEDIF'=Resolution days.</t>
        </is>
      </c>
      <c r="G348" s="16" t="inlineStr">
        <is>
          <t>MNC: Customer complaint TAT.</t>
        </is>
      </c>
    </row>
    <row r="349" ht="52" customHeight="1">
      <c r="A349" s="104" t="inlineStr">
        <is>
          <t>327</t>
        </is>
      </c>
      <c r="B349" s="105">
        <f>IF(DATEDIF(B2,TODAY(),"D")&gt;3,"Escalate","Normal")</f>
        <v/>
      </c>
      <c r="C349" s="106" t="inlineStr">
        <is>
          <t>Escalation Flag</t>
        </is>
      </c>
      <c r="D349" s="107" t="inlineStr">
        <is>
          <t>Escalates complaints open &gt; 3 days.</t>
        </is>
      </c>
      <c r="E349" s="107" t="inlineStr">
        <is>
          <t>3 din se zyada khula escalate karo.</t>
        </is>
      </c>
      <c r="F349" s="108" t="inlineStr">
        <is>
          <t>IF+DATEDIF=Escalation trigger.</t>
        </is>
      </c>
      <c r="G349" s="10" t="inlineStr">
        <is>
          <t>MNC: Complaint escalation management.</t>
        </is>
      </c>
    </row>
    <row r="350" ht="52" customHeight="1">
      <c r="A350" s="11" t="inlineStr">
        <is>
          <t>328</t>
        </is>
      </c>
      <c r="B350" s="12">
        <f>COUNTIF(D:D,"Escalated")</f>
        <v/>
      </c>
      <c r="C350" s="13" t="inlineStr">
        <is>
          <t>Escalations</t>
        </is>
      </c>
      <c r="D350" s="14" t="inlineStr">
        <is>
          <t>Count of escalated complaints.</t>
        </is>
      </c>
      <c r="E350" s="14" t="inlineStr">
        <is>
          <t>Escalated complaints gino.</t>
        </is>
      </c>
      <c r="F350" s="103" t="inlineStr">
        <is>
          <t>'COUNTIF'=Escalated count.</t>
        </is>
      </c>
      <c r="G350" s="16" t="inlineStr">
        <is>
          <t>MNC: Customer escalation tracking.</t>
        </is>
      </c>
    </row>
    <row r="351" ht="52" customHeight="1">
      <c r="A351" s="104" t="inlineStr">
        <is>
          <t>329</t>
        </is>
      </c>
      <c r="B351" s="105">
        <f>D2/E2*100</f>
        <v/>
      </c>
      <c r="C351" s="106" t="inlineStr">
        <is>
          <t>CSAT Score %</t>
        </is>
      </c>
      <c r="D351" s="107" t="inlineStr">
        <is>
          <t>Customer satisfaction score %.</t>
        </is>
      </c>
      <c r="E351" s="107" t="inlineStr">
        <is>
          <t>CSAT score % nikalo.</t>
        </is>
      </c>
      <c r="F351" s="108" t="inlineStr">
        <is>
          <t>Score/Max×100=CSAT %.</t>
        </is>
      </c>
      <c r="G351" s="10" t="inlineStr">
        <is>
          <t>MNC: Monthly CSAT measurement.</t>
        </is>
      </c>
    </row>
    <row r="352" ht="52" customHeight="1">
      <c r="A352" s="11" t="inlineStr">
        <is>
          <t>330</t>
        </is>
      </c>
      <c r="B352" s="12">
        <f>IF(D2&gt;=4.5,"Excellent",IF(D2&gt;=4,"Good",IF(D2&gt;=3,"Average","Poor")))</f>
        <v/>
      </c>
      <c r="C352" s="13" t="inlineStr">
        <is>
          <t>CSAT Grade</t>
        </is>
      </c>
      <c r="D352" s="14" t="inlineStr">
        <is>
          <t>Customer satisfaction grade.</t>
        </is>
      </c>
      <c r="E352" s="14" t="inlineStr">
        <is>
          <t>CSAT rating se grade assign.</t>
        </is>
      </c>
      <c r="F352" s="103" t="inlineStr">
        <is>
          <t>IF Nested=Rating se grade.</t>
        </is>
      </c>
      <c r="G352" s="16" t="inlineStr">
        <is>
          <t>MNC: CSAT performance grading.</t>
        </is>
      </c>
    </row>
    <row r="353" ht="52" customHeight="1">
      <c r="A353" s="104" t="inlineStr">
        <is>
          <t>331</t>
        </is>
      </c>
      <c r="B353" s="105">
        <f>COUNTIF(C:C,"Repeat Complaint")</f>
        <v/>
      </c>
      <c r="C353" s="106" t="inlineStr">
        <is>
          <t>Repeat Complaints</t>
        </is>
      </c>
      <c r="D353" s="107" t="inlineStr">
        <is>
          <t>Same issue reported again.</t>
        </is>
      </c>
      <c r="E353" s="107" t="inlineStr">
        <is>
          <t>Same issue repeat complaints gino.</t>
        </is>
      </c>
      <c r="F353" s="108" t="inlineStr">
        <is>
          <t>'COUNTIF'=Repeat complaints.</t>
        </is>
      </c>
      <c r="G353" s="10" t="inlineStr">
        <is>
          <t>MNC: Root cause fix effectiveness.</t>
        </is>
      </c>
    </row>
    <row r="354" ht="52" customHeight="1">
      <c r="A354" s="11" t="inlineStr">
        <is>
          <t>332</t>
        </is>
      </c>
      <c r="B354" s="12">
        <f>D2/E2*100</f>
        <v/>
      </c>
      <c r="C354" s="13" t="inlineStr">
        <is>
          <t>NPS Promoters %</t>
        </is>
      </c>
      <c r="D354" s="14" t="inlineStr">
        <is>
          <t>Promoters as % of respondents.</t>
        </is>
      </c>
      <c r="E354" s="14" t="inlineStr">
        <is>
          <t>Promoters ka % nikalo.</t>
        </is>
      </c>
      <c r="F354" s="103" t="inlineStr">
        <is>
          <t>Promoters/Total×100=%.</t>
        </is>
      </c>
      <c r="G354" s="16" t="inlineStr">
        <is>
          <t>MNC: Net Promoter Score input.</t>
        </is>
      </c>
    </row>
    <row r="355" ht="52" customHeight="1">
      <c r="A355" s="104" t="inlineStr">
        <is>
          <t>333</t>
        </is>
      </c>
      <c r="B355" s="105">
        <f>D2-E2</f>
        <v/>
      </c>
      <c r="C355" s="106" t="inlineStr">
        <is>
          <t>NPS Score</t>
        </is>
      </c>
      <c r="D355" s="107" t="inlineStr">
        <is>
          <t>NPS = Promoters% - Detractors%.</t>
        </is>
      </c>
      <c r="E355" s="107" t="inlineStr">
        <is>
          <t>NPS calculate karo.</t>
        </is>
      </c>
      <c r="F355" s="108" t="inlineStr">
        <is>
          <t>Promoters%-Detractors%=NPS.</t>
        </is>
      </c>
      <c r="G355" s="10" t="inlineStr">
        <is>
          <t>MNC: Net Promoter Score monthly.</t>
        </is>
      </c>
    </row>
    <row r="356" ht="52" customHeight="1">
      <c r="A356" s="11" t="inlineStr">
        <is>
          <t>334</t>
        </is>
      </c>
      <c r="B356" s="12">
        <f>AVERAGE(D:D)</f>
        <v/>
      </c>
      <c r="C356" s="13" t="inlineStr">
        <is>
          <t>Avg Response Time</t>
        </is>
      </c>
      <c r="D356" s="14" t="inlineStr">
        <is>
          <t>Average first response time.</t>
        </is>
      </c>
      <c r="E356" s="14" t="inlineStr">
        <is>
          <t>First response average time.</t>
        </is>
      </c>
      <c r="F356" s="103" t="inlineStr">
        <is>
          <t>'AVERAGE'=FRT (First Response Time).</t>
        </is>
      </c>
      <c r="G356" s="16" t="inlineStr">
        <is>
          <t>MNC: SLA — first response time KPI.</t>
        </is>
      </c>
    </row>
    <row r="357" ht="52" customHeight="1">
      <c r="A357" s="104" t="inlineStr">
        <is>
          <t>335</t>
        </is>
      </c>
      <c r="B357" s="105">
        <f>COUNTIF(C:C,"Warranty")</f>
        <v/>
      </c>
      <c r="C357" s="106" t="inlineStr">
        <is>
          <t>Warranty Claims</t>
        </is>
      </c>
      <c r="D357" s="107" t="inlineStr">
        <is>
          <t>Total warranty claims received.</t>
        </is>
      </c>
      <c r="E357" s="107" t="inlineStr">
        <is>
          <t>Warranty claims gino.</t>
        </is>
      </c>
      <c r="F357" s="108" t="inlineStr">
        <is>
          <t>'COUNTIF'=Warranty claims count.</t>
        </is>
      </c>
      <c r="G357" s="10" t="inlineStr">
        <is>
          <t>MNC: Product quality feedback.</t>
        </is>
      </c>
    </row>
    <row r="358" ht="52" customHeight="1">
      <c r="A358" s="11" t="inlineStr">
        <is>
          <t>336</t>
        </is>
      </c>
      <c r="B358" s="12">
        <f>D2*E2</f>
        <v/>
      </c>
      <c r="C358" s="13" t="inlineStr">
        <is>
          <t>Warranty Cost ₹</t>
        </is>
      </c>
      <c r="D358" s="14" t="inlineStr">
        <is>
          <t>Warranty claims × avg cost.</t>
        </is>
      </c>
      <c r="E358" s="14" t="inlineStr">
        <is>
          <t>Warranty cost total nikalo.</t>
        </is>
      </c>
      <c r="F358" s="103" t="inlineStr">
        <is>
          <t>Claims×Avg Cost=Warranty ₹.</t>
        </is>
      </c>
      <c r="G358" s="16" t="inlineStr">
        <is>
          <t>MNC: Quality cost — warranty provision.</t>
        </is>
      </c>
    </row>
    <row r="359" ht="26" customHeight="1">
      <c r="A359" s="109" t="inlineStr">
        <is>
          <t xml:space="preserve">  ►  20. LEGAL &amp; COMPLIANCE — Vidhi aur Anupalan Vibhag</t>
        </is>
      </c>
    </row>
    <row r="360" ht="52" customHeight="1">
      <c r="A360" s="110" t="inlineStr">
        <is>
          <t>337</t>
        </is>
      </c>
      <c r="B360" s="111">
        <f>IF(TODAY()&gt;B2,"EXPIRED",B2-TODAY()&amp;" days")</f>
        <v/>
      </c>
      <c r="C360" s="112" t="inlineStr">
        <is>
          <t>Contract Expiry</t>
        </is>
      </c>
      <c r="D360" s="113" t="inlineStr">
        <is>
          <t>Contract expiry status and days.</t>
        </is>
      </c>
      <c r="E360" s="113" t="inlineStr">
        <is>
          <t>Contract expire hua ya kitne din bache.</t>
        </is>
      </c>
      <c r="F360" s="114" t="inlineStr">
        <is>
          <t>IF+TODAY=Expiry check.</t>
        </is>
      </c>
      <c r="G360" s="10" t="inlineStr">
        <is>
          <t>MNC: Contract renewal monitoring.</t>
        </is>
      </c>
    </row>
    <row r="361" ht="52" customHeight="1">
      <c r="A361" s="11" t="inlineStr">
        <is>
          <t>338</t>
        </is>
      </c>
      <c r="B361" s="12">
        <f>DATEDIF(TODAY(),B2,"D")</f>
        <v/>
      </c>
      <c r="C361" s="13" t="inlineStr">
        <is>
          <t>Days to Expiry</t>
        </is>
      </c>
      <c r="D361" s="14" t="inlineStr">
        <is>
          <t>Days remaining to contract expiry.</t>
        </is>
      </c>
      <c r="E361" s="14" t="inlineStr">
        <is>
          <t>Contract expire hone mein din.</t>
        </is>
      </c>
      <c r="F361" s="115" t="inlineStr">
        <is>
          <t>'DATEDIF'=Days to expiry.</t>
        </is>
      </c>
      <c r="G361" s="16" t="inlineStr">
        <is>
          <t>MNC: Legal contract management.</t>
        </is>
      </c>
    </row>
    <row r="362" ht="52" customHeight="1">
      <c r="A362" s="110" t="inlineStr">
        <is>
          <t>339</t>
        </is>
      </c>
      <c r="B362" s="111">
        <f>COUNTIF(C:C,"Compliant")</f>
        <v/>
      </c>
      <c r="C362" s="112" t="inlineStr">
        <is>
          <t>Compliant Count</t>
        </is>
      </c>
      <c r="D362" s="113" t="inlineStr">
        <is>
          <t>Total compliant items.</t>
        </is>
      </c>
      <c r="E362" s="113" t="inlineStr">
        <is>
          <t>Compliant items gino.</t>
        </is>
      </c>
      <c r="F362" s="114" t="inlineStr">
        <is>
          <t>'COUNTIF'=Compliant count.</t>
        </is>
      </c>
      <c r="G362" s="10" t="inlineStr">
        <is>
          <t>MNC: Regulatory compliance report.</t>
        </is>
      </c>
    </row>
    <row r="363" ht="52" customHeight="1">
      <c r="A363" s="11" t="inlineStr">
        <is>
          <t>340</t>
        </is>
      </c>
      <c r="B363" s="12">
        <f>COUNTIF(C:C,"Non-Compliant")</f>
        <v/>
      </c>
      <c r="C363" s="13" t="inlineStr">
        <is>
          <t>Non-Compliant</t>
        </is>
      </c>
      <c r="D363" s="14" t="inlineStr">
        <is>
          <t>Total non-compliant items.</t>
        </is>
      </c>
      <c r="E363" s="14" t="inlineStr">
        <is>
          <t>Non-compliant items gino.</t>
        </is>
      </c>
      <c r="F363" s="115" t="inlineStr">
        <is>
          <t>'COUNTIF'=Non-compliant count.</t>
        </is>
      </c>
      <c r="G363" s="16" t="inlineStr">
        <is>
          <t>MNC: Compliance gap tracking.</t>
        </is>
      </c>
    </row>
    <row r="364" ht="52" customHeight="1">
      <c r="A364" s="110" t="inlineStr">
        <is>
          <t>341</t>
        </is>
      </c>
      <c r="B364" s="111">
        <f>COUNTIF(C:C,"Compliant")/COUNTA(C:C)*100</f>
        <v/>
      </c>
      <c r="C364" s="112" t="inlineStr">
        <is>
          <t>Compliance Rate %</t>
        </is>
      </c>
      <c r="D364" s="113" t="inlineStr">
        <is>
          <t>Overall compliance percentage.</t>
        </is>
      </c>
      <c r="E364" s="113" t="inlineStr">
        <is>
          <t>Compliance % nikalo.</t>
        </is>
      </c>
      <c r="F364" s="114" t="inlineStr">
        <is>
          <t>Compliant/Total×100=%.</t>
        </is>
      </c>
      <c r="G364" s="10" t="inlineStr">
        <is>
          <t>MNC: Legal compliance dashboard.</t>
        </is>
      </c>
    </row>
    <row r="365" ht="52" customHeight="1">
      <c r="A365" s="11" t="inlineStr">
        <is>
          <t>342</t>
        </is>
      </c>
      <c r="B365" s="12">
        <f>IF(DATEDIF(TODAY(),B2,"D")&lt;30,"Renew Now",IF(DATEDIF(TODAY(),B2,"D")&lt;90,"Renew Soon","OK"))</f>
        <v/>
      </c>
      <c r="C365" s="13" t="inlineStr">
        <is>
          <t>License Alert</t>
        </is>
      </c>
      <c r="D365" s="14" t="inlineStr">
        <is>
          <t>License renewal alert.</t>
        </is>
      </c>
      <c r="E365" s="14" t="inlineStr">
        <is>
          <t>License renewal alert — 30/90 days.</t>
        </is>
      </c>
      <c r="F365" s="115" t="inlineStr">
        <is>
          <t>IF+DATEDIF=Tiered renewal alert.</t>
        </is>
      </c>
      <c r="G365" s="16" t="inlineStr">
        <is>
          <t>MNC: Operating license monitoring.</t>
        </is>
      </c>
    </row>
    <row r="366" ht="52" customHeight="1">
      <c r="A366" s="110" t="inlineStr">
        <is>
          <t>343</t>
        </is>
      </c>
      <c r="B366" s="111">
        <f>COUNTIF(D:D,"Open")</f>
        <v/>
      </c>
      <c r="C366" s="112" t="inlineStr">
        <is>
          <t>Pending Cases</t>
        </is>
      </c>
      <c r="D366" s="113" t="inlineStr">
        <is>
          <t>Open legal cases count.</t>
        </is>
      </c>
      <c r="E366" s="113" t="inlineStr">
        <is>
          <t>Open legal cases gino.</t>
        </is>
      </c>
      <c r="F366" s="114" t="inlineStr">
        <is>
          <t>'COUNTIF'=Open cases.</t>
        </is>
      </c>
      <c r="G366" s="10" t="inlineStr">
        <is>
          <t>MNC: Litigation tracking.</t>
        </is>
      </c>
    </row>
    <row r="367" ht="52" customHeight="1">
      <c r="A367" s="11" t="inlineStr">
        <is>
          <t>344</t>
        </is>
      </c>
      <c r="B367" s="12">
        <f>D2*E2</f>
        <v/>
      </c>
      <c r="C367" s="13" t="inlineStr">
        <is>
          <t>Legal Provision ₹</t>
        </is>
      </c>
      <c r="D367" s="14" t="inlineStr">
        <is>
          <t>Cases × estimated cost = provision.</t>
        </is>
      </c>
      <c r="E367" s="14" t="inlineStr">
        <is>
          <t>Legal provision amount nikalo.</t>
        </is>
      </c>
      <c r="F367" s="115" t="inlineStr">
        <is>
          <t>Cases×Avg Cost=Provision ₹.</t>
        </is>
      </c>
      <c r="G367" s="16" t="inlineStr">
        <is>
          <t>MNC: Legal cost provisioning.</t>
        </is>
      </c>
    </row>
    <row r="368" ht="52" customHeight="1">
      <c r="A368" s="110" t="inlineStr">
        <is>
          <t>345</t>
        </is>
      </c>
      <c r="B368" s="111">
        <f>SUMIF(B:B,"Labour Law",D:D)</f>
        <v/>
      </c>
      <c r="C368" s="112" t="inlineStr">
        <is>
          <t>Labour Compliance</t>
        </is>
      </c>
      <c r="D368" s="113" t="inlineStr">
        <is>
          <t>Labour law compliance items sum.</t>
        </is>
      </c>
      <c r="E368" s="113" t="inlineStr">
        <is>
          <t>Labour law compliance items.</t>
        </is>
      </c>
      <c r="F368" s="114" t="inlineStr">
        <is>
          <t>'SUMIF'=Labour law filter.</t>
        </is>
      </c>
      <c r="G368" s="10" t="inlineStr">
        <is>
          <t>MNC: Factory Act compliance.</t>
        </is>
      </c>
    </row>
    <row r="369" ht="52" customHeight="1">
      <c r="A369" s="11" t="inlineStr">
        <is>
          <t>346</t>
        </is>
      </c>
      <c r="B369" s="12">
        <f>IF(TODAY()-B2&gt;365,"Annual Return Due","OK")</f>
        <v/>
      </c>
      <c r="C369" s="13" t="inlineStr">
        <is>
          <t>Annual Return</t>
        </is>
      </c>
      <c r="D369" s="14" t="inlineStr">
        <is>
          <t>Flags if annual return filing due.</t>
        </is>
      </c>
      <c r="E369" s="14" t="inlineStr">
        <is>
          <t>Annual return file karna hai flag.</t>
        </is>
      </c>
      <c r="F369" s="115" t="inlineStr">
        <is>
          <t>IF+Days&gt;365=Filing due.</t>
        </is>
      </c>
      <c r="G369" s="16" t="inlineStr">
        <is>
          <t>MNC: Statutory compliance calendar.</t>
        </is>
      </c>
    </row>
    <row r="370" ht="26" customHeight="1">
      <c r="A370" s="116" t="inlineStr">
        <is>
          <t xml:space="preserve">  ►  21. MIS / REPORTING TEAM — MIS aur Prativedan Dal</t>
        </is>
      </c>
    </row>
    <row r="371" ht="52" customHeight="1">
      <c r="A371" s="117" t="inlineStr">
        <is>
          <t>347</t>
        </is>
      </c>
      <c r="B371" s="118">
        <f>TEXT(TODAY(),"DD-MMM-YYYY")</f>
        <v/>
      </c>
      <c r="C371" s="119" t="inlineStr">
        <is>
          <t>Today Formatted</t>
        </is>
      </c>
      <c r="D371" s="120" t="inlineStr">
        <is>
          <t>Today's date readable format.</t>
        </is>
      </c>
      <c r="E371" s="120" t="inlineStr">
        <is>
          <t>Aaj ki tarikh DD-MMM-YYYY format.</t>
        </is>
      </c>
      <c r="F371" s="121" t="inlineStr">
        <is>
          <t>'TEXT'=Date readable format.</t>
        </is>
      </c>
      <c r="G371" s="10" t="inlineStr">
        <is>
          <t>MNC: Report headers auto-date.</t>
        </is>
      </c>
    </row>
    <row r="372" ht="52" customHeight="1">
      <c r="A372" s="11" t="inlineStr">
        <is>
          <t>348</t>
        </is>
      </c>
      <c r="B372" s="12">
        <f>TEXT(TODAY(),"MMM-YYYY")</f>
        <v/>
      </c>
      <c r="C372" s="13" t="inlineStr">
        <is>
          <t>Month-Year Label</t>
        </is>
      </c>
      <c r="D372" s="14" t="inlineStr">
        <is>
          <t>Current month-year 'Sep-2025'.</t>
        </is>
      </c>
      <c r="E372" s="14" t="inlineStr">
        <is>
          <t>Report mein month auto-update.</t>
        </is>
      </c>
      <c r="F372" s="122" t="inlineStr">
        <is>
          <t>'TEXT'=Month-Year format.</t>
        </is>
      </c>
      <c r="G372" s="16" t="inlineStr">
        <is>
          <t>MNC: MIS report header auto.</t>
        </is>
      </c>
    </row>
    <row r="373" ht="52" customHeight="1">
      <c r="A373" s="117" t="inlineStr">
        <is>
          <t>349</t>
        </is>
      </c>
      <c r="B373" s="118">
        <f>EOMONTH(TODAY(),0)</f>
        <v/>
      </c>
      <c r="C373" s="119" t="inlineStr">
        <is>
          <t>Month End Date</t>
        </is>
      </c>
      <c r="D373" s="120" t="inlineStr">
        <is>
          <t>Last date of current month.</t>
        </is>
      </c>
      <c r="E373" s="120" t="inlineStr">
        <is>
          <t>Mahine ki last date nikalo.</t>
        </is>
      </c>
      <c r="F373" s="121" t="inlineStr">
        <is>
          <t>'EOMONTH'=Month end date.</t>
        </is>
      </c>
      <c r="G373" s="10" t="inlineStr">
        <is>
          <t>MNC: Closing date for reports.</t>
        </is>
      </c>
    </row>
    <row r="374" ht="52" customHeight="1">
      <c r="A374" s="11" t="inlineStr">
        <is>
          <t>350</t>
        </is>
      </c>
      <c r="B374" s="12">
        <f>EOMONTH(TODAY(),-1)+1</f>
        <v/>
      </c>
      <c r="C374" s="13" t="inlineStr">
        <is>
          <t>Month Start Date</t>
        </is>
      </c>
      <c r="D374" s="14" t="inlineStr">
        <is>
          <t>First date of current month.</t>
        </is>
      </c>
      <c r="E374" s="14" t="inlineStr">
        <is>
          <t>Mahine ki first date nikalo.</t>
        </is>
      </c>
      <c r="F374" s="122" t="inlineStr">
        <is>
          <t>EOMONTH+1=Month start.</t>
        </is>
      </c>
      <c r="G374" s="16" t="inlineStr">
        <is>
          <t>MNC: Report period start date.</t>
        </is>
      </c>
    </row>
    <row r="375" ht="52" customHeight="1">
      <c r="A375" s="117" t="inlineStr">
        <is>
          <t>351</t>
        </is>
      </c>
      <c r="B375" s="118">
        <f>CHOOSE(WEEKDAY(TODAY(),2),"Mon","Tue","Wed","Thu","Fri","Sat","Sun")</f>
        <v/>
      </c>
      <c r="C375" s="119" t="inlineStr">
        <is>
          <t>Today's Day</t>
        </is>
      </c>
      <c r="D375" s="120" t="inlineStr">
        <is>
          <t>Current day name.</t>
        </is>
      </c>
      <c r="E375" s="120" t="inlineStr">
        <is>
          <t>Aaj kaun sa din hai.</t>
        </is>
      </c>
      <c r="F375" s="121" t="inlineStr">
        <is>
          <t>CHOOSE+WEEKDAY=Day name.</t>
        </is>
      </c>
      <c r="G375" s="10" t="inlineStr">
        <is>
          <t>MNC: Daily report day label.</t>
        </is>
      </c>
    </row>
    <row r="376" ht="52" customHeight="1">
      <c r="A376" s="11" t="inlineStr">
        <is>
          <t>352</t>
        </is>
      </c>
      <c r="B376" s="12">
        <f>TEXT(TODAY(),"DDDD")</f>
        <v/>
      </c>
      <c r="C376" s="13" t="inlineStr">
        <is>
          <t>Full Day Name</t>
        </is>
      </c>
      <c r="D376" s="14" t="inlineStr">
        <is>
          <t>Full day name (Monday etc.).</t>
        </is>
      </c>
      <c r="E376" s="14" t="inlineStr">
        <is>
          <t>Poora din ka naam dikhao.</t>
        </is>
      </c>
      <c r="F376" s="122" t="inlineStr">
        <is>
          <t>'TEXT'+DDDD=Full day name.</t>
        </is>
      </c>
      <c r="G376" s="16" t="inlineStr">
        <is>
          <t>MNC: Report header — day name.</t>
        </is>
      </c>
    </row>
    <row r="377" ht="52" customHeight="1">
      <c r="A377" s="117" t="inlineStr">
        <is>
          <t>353</t>
        </is>
      </c>
      <c r="B377" s="118">
        <f>NETWORKDAYS(EOMONTH(TODAY(),-1)+1,EOMONTH(TODAY(),0))</f>
        <v/>
      </c>
      <c r="C377" s="119" t="inlineStr">
        <is>
          <t>Working Days Month</t>
        </is>
      </c>
      <c r="D377" s="120" t="inlineStr">
        <is>
          <t>Working days in current month.</t>
        </is>
      </c>
      <c r="E377" s="120" t="inlineStr">
        <is>
          <t>Is mahine ke working days.</t>
        </is>
      </c>
      <c r="F377" s="121" t="inlineStr">
        <is>
          <t>'NETWORKDAYS'=Monthly working days.</t>
        </is>
      </c>
      <c r="G377" s="10" t="inlineStr">
        <is>
          <t>MNC: Monthly productivity baseline.</t>
        </is>
      </c>
    </row>
    <row r="378" ht="52" customHeight="1">
      <c r="A378" s="11" t="inlineStr">
        <is>
          <t>354</t>
        </is>
      </c>
      <c r="B378" s="12">
        <f>VLOOKUP(A2,MasterData!A:F,3,0)</f>
        <v/>
      </c>
      <c r="C378" s="13" t="inlineStr">
        <is>
          <t>Master Lookup</t>
        </is>
      </c>
      <c r="D378" s="14" t="inlineStr">
        <is>
          <t>Data fetch from master sheet.</t>
        </is>
      </c>
      <c r="E378" s="14" t="inlineStr">
        <is>
          <t>Master sheet se data fetch.</t>
        </is>
      </c>
      <c r="F378" s="122" t="inlineStr">
        <is>
          <t>'VLOOKUP'=ID se data lo.</t>
        </is>
      </c>
      <c r="G378" s="16" t="inlineStr">
        <is>
          <t>MNC: Report auto-population.</t>
        </is>
      </c>
    </row>
    <row r="379" ht="52" customHeight="1">
      <c r="A379" s="117" t="inlineStr">
        <is>
          <t>355</t>
        </is>
      </c>
      <c r="B379" s="118">
        <f>XLOOKUP(A2,A:A,D:D,"Not Found")</f>
        <v/>
      </c>
      <c r="C379" s="119" t="inlineStr">
        <is>
          <t>Advanced Lookup</t>
        </is>
      </c>
      <c r="D379" s="120" t="inlineStr">
        <is>
          <t>Modern VLOOKUP — any direction.</t>
        </is>
      </c>
      <c r="E379" s="120" t="inlineStr">
        <is>
          <t>Advanced lookup — kisi bhi column.</t>
        </is>
      </c>
      <c r="F379" s="121" t="inlineStr">
        <is>
          <t>'XLOOKUP'=Modern lookup.</t>
        </is>
      </c>
      <c r="G379" s="10" t="inlineStr">
        <is>
          <t>MNC: Complex data fetching.</t>
        </is>
      </c>
    </row>
    <row r="380" ht="52" customHeight="1">
      <c r="A380" s="11" t="inlineStr">
        <is>
          <t>356</t>
        </is>
      </c>
      <c r="B380" s="12">
        <f>IFERROR(VLOOKUP(A2,D:F,2,0),"N/A")</f>
        <v/>
      </c>
      <c r="C380" s="13" t="inlineStr">
        <is>
          <t>Safe Lookup</t>
        </is>
      </c>
      <c r="D380" s="14" t="inlineStr">
        <is>
          <t>Error-proof VLOOKUP.</t>
        </is>
      </c>
      <c r="E380" s="14" t="inlineStr">
        <is>
          <t>Safe lookup — error pe N/A.</t>
        </is>
      </c>
      <c r="F380" s="122" t="inlineStr">
        <is>
          <t>IFERROR=Error protection.</t>
        </is>
      </c>
      <c r="G380" s="16" t="inlineStr">
        <is>
          <t>MNC: Dashboard error prevention.</t>
        </is>
      </c>
    </row>
    <row r="381" ht="52" customHeight="1">
      <c r="A381" s="117" t="inlineStr">
        <is>
          <t>357</t>
        </is>
      </c>
      <c r="B381" s="118">
        <f>INDEX(D:D,MATCH(A2,A:A,0))</f>
        <v/>
      </c>
      <c r="C381" s="119" t="inlineStr">
        <is>
          <t>Index Match</t>
        </is>
      </c>
      <c r="D381" s="120" t="inlineStr">
        <is>
          <t>Powerful data fetch formula.</t>
        </is>
      </c>
      <c r="E381" s="120" t="inlineStr">
        <is>
          <t>Powerful lookup — kisi column se.</t>
        </is>
      </c>
      <c r="F381" s="121" t="inlineStr">
        <is>
          <t>INDEX+MATCH=Best lookup.</t>
        </is>
      </c>
      <c r="G381" s="10" t="inlineStr">
        <is>
          <t>MNC: Large file data fetch.</t>
        </is>
      </c>
    </row>
    <row r="382" ht="52" customHeight="1">
      <c r="A382" s="11" t="inlineStr">
        <is>
          <t>358</t>
        </is>
      </c>
      <c r="B382" s="12">
        <f>UNIQUE(A2:A100)</f>
        <v/>
      </c>
      <c r="C382" s="13" t="inlineStr">
        <is>
          <t>Unique List</t>
        </is>
      </c>
      <c r="D382" s="14" t="inlineStr">
        <is>
          <t>Extract unique values.</t>
        </is>
      </c>
      <c r="E382" s="14" t="inlineStr">
        <is>
          <t>Unique values nikalo.</t>
        </is>
      </c>
      <c r="F382" s="122" t="inlineStr">
        <is>
          <t>'UNIQUE'=No duplicates list.</t>
        </is>
      </c>
      <c r="G382" s="16" t="inlineStr">
        <is>
          <t>MNC: Master list from raw data.</t>
        </is>
      </c>
    </row>
    <row r="383" ht="52" customHeight="1">
      <c r="A383" s="117" t="inlineStr">
        <is>
          <t>359</t>
        </is>
      </c>
      <c r="B383" s="118">
        <f>FILTER(A2:F100,C2:C100="Pending")</f>
        <v/>
      </c>
      <c r="C383" s="119" t="inlineStr">
        <is>
          <t>Dynamic Filter</t>
        </is>
      </c>
      <c r="D383" s="120" t="inlineStr">
        <is>
          <t>Filter rows by condition.</t>
        </is>
      </c>
      <c r="E383" s="120" t="inlineStr">
        <is>
          <t>Condition se rows filter karo.</t>
        </is>
      </c>
      <c r="F383" s="121" t="inlineStr">
        <is>
          <t>'FILTER'=Condition filter.</t>
        </is>
      </c>
      <c r="G383" s="10" t="inlineStr">
        <is>
          <t>MNC: Dynamic dashboard data.</t>
        </is>
      </c>
    </row>
    <row r="384" ht="52" customHeight="1">
      <c r="A384" s="11" t="inlineStr">
        <is>
          <t>360</t>
        </is>
      </c>
      <c r="B384" s="12">
        <f>SORT(A2:D100,3,-1)</f>
        <v/>
      </c>
      <c r="C384" s="13" t="inlineStr">
        <is>
          <t>Auto Sort</t>
        </is>
      </c>
      <c r="D384" s="14" t="inlineStr">
        <is>
          <t>Sort by column 3 descending.</t>
        </is>
      </c>
      <c r="E384" s="14" t="inlineStr">
        <is>
          <t>Column se descending sort.</t>
        </is>
      </c>
      <c r="F384" s="122" t="inlineStr">
        <is>
          <t>'SORT'=Auto arrange data.</t>
        </is>
      </c>
      <c r="G384" s="16" t="inlineStr">
        <is>
          <t>MNC: Ranked report auto-sort.</t>
        </is>
      </c>
    </row>
    <row r="385" ht="52" customHeight="1">
      <c r="A385" s="117" t="inlineStr">
        <is>
          <t>361</t>
        </is>
      </c>
      <c r="B385" s="118">
        <f>SUMPRODUCT((B2:B100="A")*(C2:C100="Q1")*D2:D100)</f>
        <v/>
      </c>
      <c r="C385" s="119" t="inlineStr">
        <is>
          <t>SUMPRODUCT</t>
        </is>
      </c>
      <c r="D385" s="120" t="inlineStr">
        <is>
          <t>Multi-condition sum.</t>
        </is>
      </c>
      <c r="E385" s="120" t="inlineStr">
        <is>
          <t>Kai conditions ka sum.</t>
        </is>
      </c>
      <c r="F385" s="121" t="inlineStr">
        <is>
          <t>'SUMPRODUCT'=Array sum.</t>
        </is>
      </c>
      <c r="G385" s="10" t="inlineStr">
        <is>
          <t>MNC: Complex KPI calculations.</t>
        </is>
      </c>
    </row>
    <row r="386" ht="52" customHeight="1">
      <c r="A386" s="11" t="inlineStr">
        <is>
          <t>362</t>
        </is>
      </c>
      <c r="B386" s="12">
        <f>IF(COUNTIF(A$2:A2,A2)&gt;1,"Duplicate","Unique")</f>
        <v/>
      </c>
      <c r="C386" s="13" t="inlineStr">
        <is>
          <t>Duplicate Check</t>
        </is>
      </c>
      <c r="D386" s="14" t="inlineStr">
        <is>
          <t>Mark duplicate entries.</t>
        </is>
      </c>
      <c r="E386" s="14" t="inlineStr">
        <is>
          <t>Duplicate entries flag karo.</t>
        </is>
      </c>
      <c r="F386" s="122" t="inlineStr">
        <is>
          <t>COUNTIF&gt;1=Duplicate mark.</t>
        </is>
      </c>
      <c r="G386" s="16" t="inlineStr">
        <is>
          <t>MNC: Data quality — duplicates.</t>
        </is>
      </c>
    </row>
    <row r="387" ht="52" customHeight="1">
      <c r="A387" s="117" t="inlineStr">
        <is>
          <t>363</t>
        </is>
      </c>
      <c r="B387" s="118">
        <f>TRIM(A2)</f>
        <v/>
      </c>
      <c r="C387" s="119" t="inlineStr">
        <is>
          <t>Clean Data</t>
        </is>
      </c>
      <c r="D387" s="120" t="inlineStr">
        <is>
          <t>Remove extra spaces.</t>
        </is>
      </c>
      <c r="E387" s="120" t="inlineStr">
        <is>
          <t>Extra spaces hatao.</t>
        </is>
      </c>
      <c r="F387" s="121" t="inlineStr">
        <is>
          <t>'TRIM'=Data cleaning.</t>
        </is>
      </c>
      <c r="G387" s="10" t="inlineStr">
        <is>
          <t>MNC: ERP import data cleaning.</t>
        </is>
      </c>
    </row>
    <row r="388" ht="52" customHeight="1">
      <c r="A388" s="11" t="inlineStr">
        <is>
          <t>364</t>
        </is>
      </c>
      <c r="B388" s="12">
        <f>PROPER(A2)</f>
        <v/>
      </c>
      <c r="C388" s="13" t="inlineStr">
        <is>
          <t>Fix Case</t>
        </is>
      </c>
      <c r="D388" s="14" t="inlineStr">
        <is>
          <t>Proper case names.</t>
        </is>
      </c>
      <c r="E388" s="14" t="inlineStr">
        <is>
          <t>Names proper case karo.</t>
        </is>
      </c>
      <c r="F388" s="122" t="inlineStr">
        <is>
          <t>'PROPER'=Title case fix.</t>
        </is>
      </c>
      <c r="G388" s="16" t="inlineStr">
        <is>
          <t>MNC: Name standardization.</t>
        </is>
      </c>
    </row>
    <row r="389" ht="52" customHeight="1">
      <c r="A389" s="117" t="inlineStr">
        <is>
          <t>365</t>
        </is>
      </c>
      <c r="B389" s="118">
        <f>LEN(TRIM(A2))</f>
        <v/>
      </c>
      <c r="C389" s="119" t="inlineStr">
        <is>
          <t>Length Check</t>
        </is>
      </c>
      <c r="D389" s="120" t="inlineStr">
        <is>
          <t>Character count for validation.</t>
        </is>
      </c>
      <c r="E389" s="120" t="inlineStr">
        <is>
          <t>Text length check karo.</t>
        </is>
      </c>
      <c r="F389" s="121" t="inlineStr">
        <is>
          <t>'LEN'=Character count.</t>
        </is>
      </c>
      <c r="G389" s="10" t="inlineStr">
        <is>
          <t>MNC: PAN/GSTIN/ID validation.</t>
        </is>
      </c>
    </row>
    <row r="390" ht="52" customHeight="1">
      <c r="A390" s="11" t="inlineStr">
        <is>
          <t>366</t>
        </is>
      </c>
      <c r="B390" s="12">
        <f>IF(LEN(TRIM(A2))=10,"Valid","Invalid")</f>
        <v/>
      </c>
      <c r="C390" s="13" t="inlineStr">
        <is>
          <t>Phone Valid</t>
        </is>
      </c>
      <c r="D390" s="14" t="inlineStr">
        <is>
          <t>10-digit phone validation.</t>
        </is>
      </c>
      <c r="E390" s="14" t="inlineStr">
        <is>
          <t>Phone number 10 digit check.</t>
        </is>
      </c>
      <c r="F390" s="122" t="inlineStr">
        <is>
          <t>IF+LEN=10 digit validate.</t>
        </is>
      </c>
      <c r="G390" s="16" t="inlineStr">
        <is>
          <t>MNC: Customer DB validation.</t>
        </is>
      </c>
    </row>
    <row r="391" ht="52" customHeight="1">
      <c r="A391" s="117" t="inlineStr">
        <is>
          <t>367</t>
        </is>
      </c>
      <c r="B391" s="118">
        <f>DATEDIF(B2,TODAY(),"D")</f>
        <v/>
      </c>
      <c r="C391" s="119" t="inlineStr">
        <is>
          <t>Days Elapsed</t>
        </is>
      </c>
      <c r="D391" s="120" t="inlineStr">
        <is>
          <t>Days since a date.</t>
        </is>
      </c>
      <c r="E391" s="120" t="inlineStr">
        <is>
          <t>Kisi date se din count.</t>
        </is>
      </c>
      <c r="F391" s="121" t="inlineStr">
        <is>
          <t>'DATEDIF'=Elapsed days.</t>
        </is>
      </c>
      <c r="G391" s="10" t="inlineStr">
        <is>
          <t>MNC: Overdue aging analysis.</t>
        </is>
      </c>
    </row>
    <row r="392" ht="52" customHeight="1">
      <c r="A392" s="11" t="inlineStr">
        <is>
          <t>368</t>
        </is>
      </c>
      <c r="B392" s="12">
        <f>IF(TODAY()-B2&gt;30,"OVERDUE","Active")</f>
        <v/>
      </c>
      <c r="C392" s="13" t="inlineStr">
        <is>
          <t>Overdue Flag</t>
        </is>
      </c>
      <c r="D392" s="14" t="inlineStr">
        <is>
          <t>30-day overdue check.</t>
        </is>
      </c>
      <c r="E392" s="14" t="inlineStr">
        <is>
          <t>30 din se zyada pending flag.</t>
        </is>
      </c>
      <c r="F392" s="122" t="inlineStr">
        <is>
          <t>IF+TODAY=Overdue alert.</t>
        </is>
      </c>
      <c r="G392" s="16" t="inlineStr">
        <is>
          <t>MNC: Action item monitoring.</t>
        </is>
      </c>
    </row>
    <row r="393" ht="26" customHeight="1">
      <c r="A393" s="123" t="inlineStr">
        <is>
          <t xml:space="preserve">  ►  22. GENERAL FORMULAS — Sab Departments Mein Use Hone Wale</t>
        </is>
      </c>
    </row>
    <row r="394" ht="52" customHeight="1">
      <c r="A394" s="124" t="inlineStr">
        <is>
          <t>369</t>
        </is>
      </c>
      <c r="B394" s="125">
        <f>IF(A1&gt;B1,"Greater",IF(A1=B1,"Equal","Less"))</f>
        <v/>
      </c>
      <c r="C394" s="126" t="inlineStr">
        <is>
          <t>Compare Two</t>
        </is>
      </c>
      <c r="D394" s="127" t="inlineStr">
        <is>
          <t>Compare two values.</t>
        </is>
      </c>
      <c r="E394" s="127" t="inlineStr">
        <is>
          <t>Do values compare karo.</t>
        </is>
      </c>
      <c r="F394" s="128" t="inlineStr">
        <is>
          <t>IF Nested=3-way comparison.</t>
        </is>
      </c>
      <c r="G394" s="10" t="inlineStr">
        <is>
          <t>All: Any comparison task.</t>
        </is>
      </c>
    </row>
    <row r="395" ht="52" customHeight="1">
      <c r="A395" s="11" t="inlineStr">
        <is>
          <t>370</t>
        </is>
      </c>
      <c r="B395" s="12">
        <f>AND(A1&gt;10,B1&lt;50)</f>
        <v/>
      </c>
      <c r="C395" s="13" t="inlineStr">
        <is>
          <t>Both True</t>
        </is>
      </c>
      <c r="D395" s="14" t="inlineStr">
        <is>
          <t>Both conditions must be true.</t>
        </is>
      </c>
      <c r="E395" s="14" t="inlineStr">
        <is>
          <t>Dono conditions sach honi chahiye.</t>
        </is>
      </c>
      <c r="F395" s="129" t="inlineStr">
        <is>
          <t>'AND'=Dono true hona chahiye.</t>
        </is>
      </c>
      <c r="G395" s="16" t="inlineStr">
        <is>
          <t>All: Multi-condition validation.</t>
        </is>
      </c>
    </row>
    <row r="396" ht="52" customHeight="1">
      <c r="A396" s="124" t="inlineStr">
        <is>
          <t>371</t>
        </is>
      </c>
      <c r="B396" s="125">
        <f>OR(A1&gt;10,B1&lt;50)</f>
        <v/>
      </c>
      <c r="C396" s="126" t="inlineStr">
        <is>
          <t>Either True</t>
        </is>
      </c>
      <c r="D396" s="127" t="inlineStr">
        <is>
          <t>Any one condition true.</t>
        </is>
      </c>
      <c r="E396" s="127" t="inlineStr">
        <is>
          <t>Koi ek condition sach ho.</t>
        </is>
      </c>
      <c r="F396" s="128" t="inlineStr">
        <is>
          <t>'OR'=Koi ek true ho.</t>
        </is>
      </c>
      <c r="G396" s="10" t="inlineStr">
        <is>
          <t>All: Any condition check.</t>
        </is>
      </c>
    </row>
    <row r="397" ht="52" customHeight="1">
      <c r="A397" s="11" t="inlineStr">
        <is>
          <t>372</t>
        </is>
      </c>
      <c r="B397" s="12">
        <f>NOT(A1&gt;10)</f>
        <v/>
      </c>
      <c r="C397" s="13" t="inlineStr">
        <is>
          <t>Reverse Logic</t>
        </is>
      </c>
      <c r="D397" s="14" t="inlineStr">
        <is>
          <t>Reverses TRUE/FALSE.</t>
        </is>
      </c>
      <c r="E397" s="14" t="inlineStr">
        <is>
          <t>Result ulta karo.</t>
        </is>
      </c>
      <c r="F397" s="129" t="inlineStr">
        <is>
          <t>'NOT'=Ulta result.</t>
        </is>
      </c>
      <c r="G397" s="16" t="inlineStr">
        <is>
          <t>All: Inverted condition check.</t>
        </is>
      </c>
    </row>
    <row r="398" ht="52" customHeight="1">
      <c r="A398" s="124" t="inlineStr">
        <is>
          <t>373</t>
        </is>
      </c>
      <c r="B398" s="125">
        <f>IFERROR(A1/B1,0)</f>
        <v/>
      </c>
      <c r="C398" s="126" t="inlineStr">
        <is>
          <t>Safe Divide</t>
        </is>
      </c>
      <c r="D398" s="127" t="inlineStr">
        <is>
          <t>Division with error protection.</t>
        </is>
      </c>
      <c r="E398" s="127" t="inlineStr">
        <is>
          <t>Safe division — error pe 0.</t>
        </is>
      </c>
      <c r="F398" s="128" t="inlineStr">
        <is>
          <t>'IFERROR'=Error se protection.</t>
        </is>
      </c>
      <c r="G398" s="10" t="inlineStr">
        <is>
          <t>All: Any division in reports.</t>
        </is>
      </c>
    </row>
    <row r="399" ht="52" customHeight="1">
      <c r="A399" s="11" t="inlineStr">
        <is>
          <t>374</t>
        </is>
      </c>
      <c r="B399" s="12">
        <f>IFNA(VLOOKUP(A1,B:C,2,0),"Missing")</f>
        <v/>
      </c>
      <c r="C399" s="13" t="inlineStr">
        <is>
          <t>NA Handler</t>
        </is>
      </c>
      <c r="D399" s="14" t="inlineStr">
        <is>
          <t>Handles #N/A errors.</t>
        </is>
      </c>
      <c r="E399" s="14" t="inlineStr">
        <is>
          <t>NA error ko handle karo.</t>
        </is>
      </c>
      <c r="F399" s="129" t="inlineStr">
        <is>
          <t>'IFNA'=NA error protection.</t>
        </is>
      </c>
      <c r="G399" s="16" t="inlineStr">
        <is>
          <t>All: Lookup error handling.</t>
        </is>
      </c>
    </row>
    <row r="400" ht="52" customHeight="1">
      <c r="A400" s="124" t="inlineStr">
        <is>
          <t>375</t>
        </is>
      </c>
      <c r="B400" s="125">
        <f>SWITCH(A1,1,"Jan",2,"Feb",3,"Mar","Other")</f>
        <v/>
      </c>
      <c r="C400" s="126" t="inlineStr">
        <is>
          <t>Switch Case</t>
        </is>
      </c>
      <c r="D400" s="127" t="inlineStr">
        <is>
          <t>Matches value to list.</t>
        </is>
      </c>
      <c r="E400" s="127" t="inlineStr">
        <is>
          <t>Value ko list se match karo.</t>
        </is>
      </c>
      <c r="F400" s="128" t="inlineStr">
        <is>
          <t>'SWITCH'=Milao aur result do.</t>
        </is>
      </c>
      <c r="G400" s="10" t="inlineStr">
        <is>
          <t>All: Month/code to label.</t>
        </is>
      </c>
    </row>
    <row r="401" ht="52" customHeight="1">
      <c r="A401" s="11" t="inlineStr">
        <is>
          <t>376</t>
        </is>
      </c>
      <c r="B401" s="12">
        <f>COUNTA(A1:A100)</f>
        <v/>
      </c>
      <c r="C401" s="13" t="inlineStr">
        <is>
          <t>Count All</t>
        </is>
      </c>
      <c r="D401" s="14" t="inlineStr">
        <is>
          <t>Count non-empty cells.</t>
        </is>
      </c>
      <c r="E401" s="14" t="inlineStr">
        <is>
          <t>Khaali chhod ke sab gino.</t>
        </is>
      </c>
      <c r="F401" s="129" t="inlineStr">
        <is>
          <t>'COUNTA'=Non-empty count.</t>
        </is>
      </c>
      <c r="G401" s="16" t="inlineStr">
        <is>
          <t>All: Headcount/records count.</t>
        </is>
      </c>
    </row>
    <row r="402" ht="52" customHeight="1">
      <c r="A402" s="124" t="inlineStr">
        <is>
          <t>377</t>
        </is>
      </c>
      <c r="B402" s="125">
        <f>COUNTBLANK(A1:A100)</f>
        <v/>
      </c>
      <c r="C402" s="126" t="inlineStr">
        <is>
          <t>Count Empty</t>
        </is>
      </c>
      <c r="D402" s="127" t="inlineStr">
        <is>
          <t>Count blank cells.</t>
        </is>
      </c>
      <c r="E402" s="127" t="inlineStr">
        <is>
          <t>Khaali cells gino.</t>
        </is>
      </c>
      <c r="F402" s="128" t="inlineStr">
        <is>
          <t>'COUNTBLANK'=Empty cells count.</t>
        </is>
      </c>
      <c r="G402" s="10" t="inlineStr">
        <is>
          <t>All: Missing data check.</t>
        </is>
      </c>
    </row>
    <row r="403" ht="52" customHeight="1">
      <c r="A403" s="11" t="inlineStr">
        <is>
          <t>378</t>
        </is>
      </c>
      <c r="B403" s="12">
        <f>LARGE(A1:A10,1)</f>
        <v/>
      </c>
      <c r="C403" s="13" t="inlineStr">
        <is>
          <t>1st Largest</t>
        </is>
      </c>
      <c r="D403" s="14" t="inlineStr">
        <is>
          <t>Highest value in range.</t>
        </is>
      </c>
      <c r="E403" s="14" t="inlineStr">
        <is>
          <t>Sabse bada number nikalo.</t>
        </is>
      </c>
      <c r="F403" s="129" t="inlineStr">
        <is>
          <t>'LARGE'(1)=Maximum value.</t>
        </is>
      </c>
      <c r="G403" s="16" t="inlineStr">
        <is>
          <t>All: Top value identification.</t>
        </is>
      </c>
    </row>
    <row r="404" ht="52" customHeight="1">
      <c r="A404" s="124" t="inlineStr">
        <is>
          <t>379</t>
        </is>
      </c>
      <c r="B404" s="125">
        <f>SMALL(A1:A10,1)</f>
        <v/>
      </c>
      <c r="C404" s="126" t="inlineStr">
        <is>
          <t>1st Smallest</t>
        </is>
      </c>
      <c r="D404" s="127" t="inlineStr">
        <is>
          <t>Lowest value in range.</t>
        </is>
      </c>
      <c r="E404" s="127" t="inlineStr">
        <is>
          <t>Sabse chhota number nikalo.</t>
        </is>
      </c>
      <c r="F404" s="128" t="inlineStr">
        <is>
          <t>'SMALL'(1)=Minimum value.</t>
        </is>
      </c>
      <c r="G404" s="10" t="inlineStr">
        <is>
          <t>All: Bottom value identification.</t>
        </is>
      </c>
    </row>
    <row r="405" ht="52" customHeight="1">
      <c r="A405" s="11" t="inlineStr">
        <is>
          <t>380</t>
        </is>
      </c>
      <c r="B405" s="12">
        <f>PERCENTILE(A1:A100,0.75)</f>
        <v/>
      </c>
      <c r="C405" s="13" t="inlineStr">
        <is>
          <t>75th Percentile</t>
        </is>
      </c>
      <c r="D405" s="14" t="inlineStr">
        <is>
          <t>75th percentile value.</t>
        </is>
      </c>
      <c r="E405" s="14" t="inlineStr">
        <is>
          <t>75th percentile nikalo.</t>
        </is>
      </c>
      <c r="F405" s="129" t="inlineStr">
        <is>
          <t>'PERCENTILE'=% mein value.</t>
        </is>
      </c>
      <c r="G405" s="16" t="inlineStr">
        <is>
          <t>All: Statistical analysis.</t>
        </is>
      </c>
    </row>
    <row r="406" ht="52" customHeight="1">
      <c r="A406" s="124" t="inlineStr">
        <is>
          <t>381</t>
        </is>
      </c>
      <c r="B406" s="125">
        <f>STDEV(A1:A100)</f>
        <v/>
      </c>
      <c r="C406" s="126" t="inlineStr">
        <is>
          <t>Std Deviation</t>
        </is>
      </c>
      <c r="D406" s="127" t="inlineStr">
        <is>
          <t>Standard deviation of data.</t>
        </is>
      </c>
      <c r="E406" s="127" t="inlineStr">
        <is>
          <t>Data ki variation nikalo.</t>
        </is>
      </c>
      <c r="F406" s="128" t="inlineStr">
        <is>
          <t>'STDEV'=Data spread measure.</t>
        </is>
      </c>
      <c r="G406" s="10" t="inlineStr">
        <is>
          <t>All: Process variation analysis.</t>
        </is>
      </c>
    </row>
    <row r="407" ht="52" customHeight="1">
      <c r="A407" s="11" t="inlineStr">
        <is>
          <t>382</t>
        </is>
      </c>
      <c r="B407" s="12">
        <f>MEDIAN(A1:A100)</f>
        <v/>
      </c>
      <c r="C407" s="13" t="inlineStr">
        <is>
          <t>Median</t>
        </is>
      </c>
      <c r="D407" s="14" t="inlineStr">
        <is>
          <t>Middle value of dataset.</t>
        </is>
      </c>
      <c r="E407" s="14" t="inlineStr">
        <is>
          <t>Beech ka value nikalo.</t>
        </is>
      </c>
      <c r="F407" s="129" t="inlineStr">
        <is>
          <t>'MEDIAN'=Middle value.</t>
        </is>
      </c>
      <c r="G407" s="16" t="inlineStr">
        <is>
          <t>All: Central tendency analysis.</t>
        </is>
      </c>
    </row>
    <row r="408" ht="52" customHeight="1">
      <c r="A408" s="124" t="inlineStr">
        <is>
          <t>383</t>
        </is>
      </c>
      <c r="B408" s="125">
        <f>MODE(A1:A100)</f>
        <v/>
      </c>
      <c r="C408" s="126" t="inlineStr">
        <is>
          <t>Mode</t>
        </is>
      </c>
      <c r="D408" s="127" t="inlineStr">
        <is>
          <t>Most frequent value.</t>
        </is>
      </c>
      <c r="E408" s="127" t="inlineStr">
        <is>
          <t>Sabse zyada aane wala.</t>
        </is>
      </c>
      <c r="F408" s="128" t="inlineStr">
        <is>
          <t>'MODE'=Most common value.</t>
        </is>
      </c>
      <c r="G408" s="10" t="inlineStr">
        <is>
          <t>All: Frequency analysis.</t>
        </is>
      </c>
    </row>
    <row r="409" ht="52" customHeight="1">
      <c r="A409" s="11" t="inlineStr">
        <is>
          <t>384</t>
        </is>
      </c>
      <c r="B409" s="12">
        <f>CONCATENATE(A1," ",B1)</f>
        <v/>
      </c>
      <c r="C409" s="13" t="inlineStr">
        <is>
          <t>Join Text</t>
        </is>
      </c>
      <c r="D409" s="14" t="inlineStr">
        <is>
          <t>Combine text values.</t>
        </is>
      </c>
      <c r="E409" s="14" t="inlineStr">
        <is>
          <t>Do texts jodo.</t>
        </is>
      </c>
      <c r="F409" s="129" t="inlineStr">
        <is>
          <t>'CONCATENATE'=Text join.</t>
        </is>
      </c>
      <c r="G409" s="16" t="inlineStr">
        <is>
          <t>All: Name/label combination.</t>
        </is>
      </c>
    </row>
    <row r="410" ht="52" customHeight="1">
      <c r="A410" s="124" t="inlineStr">
        <is>
          <t>385</t>
        </is>
      </c>
      <c r="B410" s="125">
        <f>A1&amp;" - "&amp;B1</f>
        <v/>
      </c>
      <c r="C410" s="126" t="inlineStr">
        <is>
          <t>Quick Join</t>
        </is>
      </c>
      <c r="D410" s="127" t="inlineStr">
        <is>
          <t>Quick text join with &amp;.</t>
        </is>
      </c>
      <c r="E410" s="127" t="inlineStr">
        <is>
          <t>&amp; se quickly text jodo.</t>
        </is>
      </c>
      <c r="F410" s="128" t="inlineStr">
        <is>
          <t>&amp; Operator=Quick join.</t>
        </is>
      </c>
      <c r="G410" s="10" t="inlineStr">
        <is>
          <t>All: Fast text combination.</t>
        </is>
      </c>
    </row>
    <row r="411" ht="52" customHeight="1">
      <c r="A411" s="11" t="inlineStr">
        <is>
          <t>386</t>
        </is>
      </c>
      <c r="B411" s="12">
        <f>LEFT(A1,3)</f>
        <v/>
      </c>
      <c r="C411" s="13" t="inlineStr">
        <is>
          <t>Left Extract</t>
        </is>
      </c>
      <c r="D411" s="14" t="inlineStr">
        <is>
          <t>First 3 characters.</t>
        </is>
      </c>
      <c r="E411" s="14" t="inlineStr">
        <is>
          <t>Baayi taraf se 3 characters.</t>
        </is>
      </c>
      <c r="F411" s="129" t="inlineStr">
        <is>
          <t>'LEFT'=Left se nikalo.</t>
        </is>
      </c>
      <c r="G411" s="16" t="inlineStr">
        <is>
          <t>All: Code prefix extraction.</t>
        </is>
      </c>
    </row>
    <row r="412" ht="52" customHeight="1">
      <c r="A412" s="124" t="inlineStr">
        <is>
          <t>387</t>
        </is>
      </c>
      <c r="B412" s="125">
        <f>RIGHT(A1,4)</f>
        <v/>
      </c>
      <c r="C412" s="126" t="inlineStr">
        <is>
          <t>Right Extract</t>
        </is>
      </c>
      <c r="D412" s="127" t="inlineStr">
        <is>
          <t>Last 4 characters.</t>
        </is>
      </c>
      <c r="E412" s="127" t="inlineStr">
        <is>
          <t>Daayein taraf se 4 characters.</t>
        </is>
      </c>
      <c r="F412" s="128" t="inlineStr">
        <is>
          <t>'RIGHT'=Right se nikalo.</t>
        </is>
      </c>
      <c r="G412" s="10" t="inlineStr">
        <is>
          <t>All: Code suffix extraction.</t>
        </is>
      </c>
    </row>
    <row r="413" ht="52" customHeight="1">
      <c r="A413" s="11" t="inlineStr">
        <is>
          <t>388</t>
        </is>
      </c>
      <c r="B413" s="12">
        <f>MID(A1,3,4)</f>
        <v/>
      </c>
      <c r="C413" s="13" t="inlineStr">
        <is>
          <t>Mid Extract</t>
        </is>
      </c>
      <c r="D413" s="14" t="inlineStr">
        <is>
          <t>Characters from middle.</t>
        </is>
      </c>
      <c r="E413" s="14" t="inlineStr">
        <is>
          <t>Beech se characters nikalo.</t>
        </is>
      </c>
      <c r="F413" s="129" t="inlineStr">
        <is>
          <t>'MID'=Middle se nikalo.</t>
        </is>
      </c>
      <c r="G413" s="16" t="inlineStr">
        <is>
          <t>All: Text parsing.</t>
        </is>
      </c>
    </row>
    <row r="414" ht="52" customHeight="1">
      <c r="A414" s="124" t="inlineStr">
        <is>
          <t>389</t>
        </is>
      </c>
      <c r="B414" s="125">
        <f>SUBSTITUTE(A1," ","-")</f>
        <v/>
      </c>
      <c r="C414" s="126" t="inlineStr">
        <is>
          <t>Replace Text</t>
        </is>
      </c>
      <c r="D414" s="127" t="inlineStr">
        <is>
          <t>Replace spaces with hyphen.</t>
        </is>
      </c>
      <c r="E414" s="127" t="inlineStr">
        <is>
          <t>Space ko hyphen se replace.</t>
        </is>
      </c>
      <c r="F414" s="128" t="inlineStr">
        <is>
          <t>'SUBSTITUTE'=Text replace.</t>
        </is>
      </c>
      <c r="G414" s="10" t="inlineStr">
        <is>
          <t>All: Text standardization.</t>
        </is>
      </c>
    </row>
    <row r="415" ht="52" customHeight="1">
      <c r="A415" s="11" t="inlineStr">
        <is>
          <t>390</t>
        </is>
      </c>
      <c r="B415" s="12">
        <f>UPPER(A1)</f>
        <v/>
      </c>
      <c r="C415" s="13" t="inlineStr">
        <is>
          <t>Uppercase</t>
        </is>
      </c>
      <c r="D415" s="14" t="inlineStr">
        <is>
          <t>Convert to CAPITALS.</t>
        </is>
      </c>
      <c r="E415" s="14" t="inlineStr">
        <is>
          <t>Text CAPITAL mein karo.</t>
        </is>
      </c>
      <c r="F415" s="129" t="inlineStr">
        <is>
          <t>'UPPER'=Bade akshar.</t>
        </is>
      </c>
      <c r="G415" s="16" t="inlineStr">
        <is>
          <t>All: Code/ID standardization.</t>
        </is>
      </c>
    </row>
    <row r="416" ht="52" customHeight="1">
      <c r="A416" s="124" t="inlineStr">
        <is>
          <t>391</t>
        </is>
      </c>
      <c r="B416" s="125">
        <f>LOWER(A1)</f>
        <v/>
      </c>
      <c r="C416" s="126" t="inlineStr">
        <is>
          <t>Lowercase</t>
        </is>
      </c>
      <c r="D416" s="127" t="inlineStr">
        <is>
          <t>Convert to small letters.</t>
        </is>
      </c>
      <c r="E416" s="127" t="inlineStr">
        <is>
          <t>Text chhote mein karo.</t>
        </is>
      </c>
      <c r="F416" s="128" t="inlineStr">
        <is>
          <t>'LOWER'=Chhote akshar.</t>
        </is>
      </c>
      <c r="G416" s="10" t="inlineStr">
        <is>
          <t>All: Email/username format.</t>
        </is>
      </c>
    </row>
    <row r="417" ht="52" customHeight="1">
      <c r="A417" s="11" t="inlineStr">
        <is>
          <t>392</t>
        </is>
      </c>
      <c r="B417" s="12">
        <f>VALUE(A1)</f>
        <v/>
      </c>
      <c r="C417" s="13" t="inlineStr">
        <is>
          <t>Text to Number</t>
        </is>
      </c>
      <c r="D417" s="14" t="inlineStr">
        <is>
          <t>Convert text number to real number.</t>
        </is>
      </c>
      <c r="E417" s="14" t="inlineStr">
        <is>
          <t>Text number ko real number karo.</t>
        </is>
      </c>
      <c r="F417" s="129" t="inlineStr">
        <is>
          <t>'VALUE'=Text se number.</t>
        </is>
      </c>
      <c r="G417" s="16" t="inlineStr">
        <is>
          <t>All: Imported data fix.</t>
        </is>
      </c>
    </row>
    <row r="418" ht="52" customHeight="1">
      <c r="A418" s="124" t="inlineStr">
        <is>
          <t>393</t>
        </is>
      </c>
      <c r="B418" s="125">
        <f>TEXT(A1,"#,##0")</f>
        <v/>
      </c>
      <c r="C418" s="126" t="inlineStr">
        <is>
          <t>Number Format</t>
        </is>
      </c>
      <c r="D418" s="127" t="inlineStr">
        <is>
          <t>Format number with commas.</t>
        </is>
      </c>
      <c r="E418" s="127" t="inlineStr">
        <is>
          <t>Number comma format mein.</t>
        </is>
      </c>
      <c r="F418" s="128" t="inlineStr">
        <is>
          <t>'TEXT'=Number format apply.</t>
        </is>
      </c>
      <c r="G418" s="10" t="inlineStr">
        <is>
          <t>All: Report number display.</t>
        </is>
      </c>
    </row>
    <row r="419" ht="52" customHeight="1">
      <c r="A419" s="11" t="inlineStr">
        <is>
          <t>394</t>
        </is>
      </c>
      <c r="B419" s="12">
        <f>TEXT(A1,"DD-MMM-YY")</f>
        <v/>
      </c>
      <c r="C419" s="13" t="inlineStr">
        <is>
          <t>Date Format</t>
        </is>
      </c>
      <c r="D419" s="14" t="inlineStr">
        <is>
          <t>Format date as DD-MMM-YY.</t>
        </is>
      </c>
      <c r="E419" s="14" t="inlineStr">
        <is>
          <t>Date DD-MMM-YY format.</t>
        </is>
      </c>
      <c r="F419" s="129" t="inlineStr">
        <is>
          <t>'TEXT'=Date format apply.</t>
        </is>
      </c>
      <c r="G419" s="16" t="inlineStr">
        <is>
          <t>All: Report date display.</t>
        </is>
      </c>
    </row>
    <row r="420" ht="52" customHeight="1">
      <c r="A420" s="124" t="inlineStr">
        <is>
          <t>395</t>
        </is>
      </c>
      <c r="B420" s="125">
        <f>SEQUENCE(10,1,1,1)</f>
        <v/>
      </c>
      <c r="C420" s="126" t="inlineStr">
        <is>
          <t>Number Series</t>
        </is>
      </c>
      <c r="D420" s="127" t="inlineStr">
        <is>
          <t>Auto-generate 1 to 10 series.</t>
        </is>
      </c>
      <c r="E420" s="127" t="inlineStr">
        <is>
          <t>1 se 10 automatic series.</t>
        </is>
      </c>
      <c r="F420" s="128" t="inlineStr">
        <is>
          <t>'SEQUENCE'=Auto series.</t>
        </is>
      </c>
      <c r="G420" s="10" t="inlineStr">
        <is>
          <t>All: Serial numbers auto-generate.</t>
        </is>
      </c>
    </row>
    <row r="421" ht="52" customHeight="1">
      <c r="A421" s="11" t="inlineStr">
        <is>
          <t>396</t>
        </is>
      </c>
      <c r="B421" s="12">
        <f>REPT("★",D2)</f>
        <v/>
      </c>
      <c r="C421" s="13" t="inlineStr">
        <is>
          <t>Star Rating</t>
        </is>
      </c>
      <c r="D421" s="14" t="inlineStr">
        <is>
          <t>Repeat star symbol D2 times.</t>
        </is>
      </c>
      <c r="E421" s="14" t="inlineStr">
        <is>
          <t>Stars rating dikhao.</t>
        </is>
      </c>
      <c r="F421" s="129" t="inlineStr">
        <is>
          <t>'REPT'=Symbol repeat.</t>
        </is>
      </c>
      <c r="G421" s="16" t="inlineStr">
        <is>
          <t>All: Visual rating in reports.</t>
        </is>
      </c>
    </row>
    <row r="422" ht="52" customHeight="1">
      <c r="A422" s="124" t="inlineStr">
        <is>
          <t>397</t>
        </is>
      </c>
      <c r="B422" s="125">
        <f>D2/SUM(D$2:D$11)*100</f>
        <v/>
      </c>
      <c r="C422" s="126" t="inlineStr">
        <is>
          <t>% of Total</t>
        </is>
      </c>
      <c r="D422" s="127" t="inlineStr">
        <is>
          <t>Each item as % of grand total.</t>
        </is>
      </c>
      <c r="E422" s="127" t="inlineStr">
        <is>
          <t>Item ka total ka % nikalo.</t>
        </is>
      </c>
      <c r="F422" s="128" t="inlineStr">
        <is>
          <t>Item/Total×100=% Share.</t>
        </is>
      </c>
      <c r="G422" s="10" t="inlineStr">
        <is>
          <t>All: Contribution analysis.</t>
        </is>
      </c>
    </row>
    <row r="423" ht="52" customHeight="1">
      <c r="A423" s="11" t="inlineStr">
        <is>
          <t>398</t>
        </is>
      </c>
      <c r="B423" s="12">
        <f>RANK(D2,D$2:D$100,0)</f>
        <v/>
      </c>
      <c r="C423" s="13" t="inlineStr">
        <is>
          <t>Rank</t>
        </is>
      </c>
      <c r="D423" s="14" t="inlineStr">
        <is>
          <t>Rank value in descending order.</t>
        </is>
      </c>
      <c r="E423" s="14" t="inlineStr">
        <is>
          <t>Value ka rank do.</t>
        </is>
      </c>
      <c r="F423" s="129" t="inlineStr">
        <is>
          <t>'RANK'=Descending rank.</t>
        </is>
      </c>
      <c r="G423" s="16" t="inlineStr">
        <is>
          <t>All: Performance ranking.</t>
        </is>
      </c>
    </row>
    <row r="424" ht="52" customHeight="1">
      <c r="A424" s="124" t="inlineStr">
        <is>
          <t>399</t>
        </is>
      </c>
      <c r="B424" s="125">
        <f>ABS(D2-E2)</f>
        <v/>
      </c>
      <c r="C424" s="126" t="inlineStr">
        <is>
          <t>Absolute Diff</t>
        </is>
      </c>
      <c r="D424" s="127" t="inlineStr">
        <is>
          <t>Absolute difference always positive.</t>
        </is>
      </c>
      <c r="E424" s="127" t="inlineStr">
        <is>
          <t>Positive difference nikalo.</t>
        </is>
      </c>
      <c r="F424" s="128" t="inlineStr">
        <is>
          <t>'ABS'=Always positive.</t>
        </is>
      </c>
      <c r="G424" s="10" t="inlineStr">
        <is>
          <t>All: Variance without sign.</t>
        </is>
      </c>
    </row>
    <row r="425" ht="52" customHeight="1">
      <c r="A425" s="11" t="inlineStr">
        <is>
          <t>400</t>
        </is>
      </c>
      <c r="B425" s="12">
        <f>INT(D2)</f>
        <v/>
      </c>
      <c r="C425" s="13" t="inlineStr">
        <is>
          <t>Integer Part</t>
        </is>
      </c>
      <c r="D425" s="14" t="inlineStr">
        <is>
          <t>Remove decimals from number.</t>
        </is>
      </c>
      <c r="E425" s="14" t="inlineStr">
        <is>
          <t>Decimal hata ke integer do.</t>
        </is>
      </c>
      <c r="F425" s="129" t="inlineStr">
        <is>
          <t>'INT'=Sirf poora number.</t>
        </is>
      </c>
      <c r="G425" s="16" t="inlineStr">
        <is>
          <t>All: Quantity rounding down.</t>
        </is>
      </c>
    </row>
    <row r="426" ht="52" customHeight="1">
      <c r="A426" s="124" t="inlineStr">
        <is>
          <t>401</t>
        </is>
      </c>
      <c r="B426" s="125">
        <f>CEILING(D2,1)</f>
        <v/>
      </c>
      <c r="C426" s="126" t="inlineStr">
        <is>
          <t>Round Up</t>
        </is>
      </c>
      <c r="D426" s="127" t="inlineStr">
        <is>
          <t>Always round up to next integer.</t>
        </is>
      </c>
      <c r="E426" s="127" t="inlineStr">
        <is>
          <t>Hamesha upar round karo.</t>
        </is>
      </c>
      <c r="F426" s="128" t="inlineStr">
        <is>
          <t>'CEILING'=Upar round.</t>
        </is>
      </c>
      <c r="G426" s="10" t="inlineStr">
        <is>
          <t>All: Batch/pack quantity.</t>
        </is>
      </c>
    </row>
    <row r="427" ht="52" customHeight="1">
      <c r="A427" s="11" t="inlineStr">
        <is>
          <t>402</t>
        </is>
      </c>
      <c r="B427" s="12">
        <f>FLOOR(D2,1)</f>
        <v/>
      </c>
      <c r="C427" s="13" t="inlineStr">
        <is>
          <t>Round Down</t>
        </is>
      </c>
      <c r="D427" s="14" t="inlineStr">
        <is>
          <t>Always round down to integer.</t>
        </is>
      </c>
      <c r="E427" s="14" t="inlineStr">
        <is>
          <t>Hamesha neeche round karo.</t>
        </is>
      </c>
      <c r="F427" s="129" t="inlineStr">
        <is>
          <t>'FLOOR'=Neeche round.</t>
        </is>
      </c>
      <c r="G427" s="16" t="inlineStr">
        <is>
          <t>All: Safe quantity rounding.</t>
        </is>
      </c>
    </row>
    <row r="428" ht="52" customHeight="1">
      <c r="A428" s="124" t="inlineStr">
        <is>
          <t>403</t>
        </is>
      </c>
      <c r="B428" s="125">
        <f>MOD(D2,E2)</f>
        <v/>
      </c>
      <c r="C428" s="126" t="inlineStr">
        <is>
          <t>Remainder</t>
        </is>
      </c>
      <c r="D428" s="127" t="inlineStr">
        <is>
          <t>Remainder after division.</t>
        </is>
      </c>
      <c r="E428" s="127" t="inlineStr">
        <is>
          <t>Division ke baad remainder.</t>
        </is>
      </c>
      <c r="F428" s="128" t="inlineStr">
        <is>
          <t>'MOD'=Baaki/shesha.</t>
        </is>
      </c>
      <c r="G428" s="10" t="inlineStr">
        <is>
          <t>All: Cycle detection.</t>
        </is>
      </c>
    </row>
    <row r="429" ht="52" customHeight="1">
      <c r="A429" s="11" t="inlineStr">
        <is>
          <t>404</t>
        </is>
      </c>
      <c r="B429" s="12">
        <f>POWER(D2,2)</f>
        <v/>
      </c>
      <c r="C429" s="13" t="inlineStr">
        <is>
          <t>Square</t>
        </is>
      </c>
      <c r="D429" s="14" t="inlineStr">
        <is>
          <t>Number raised to power 2.</t>
        </is>
      </c>
      <c r="E429" s="14" t="inlineStr">
        <is>
          <t>Number ka square nikalo.</t>
        </is>
      </c>
      <c r="F429" s="129" t="inlineStr">
        <is>
          <t>'POWER'=Ghaat.</t>
        </is>
      </c>
      <c r="G429" s="16" t="inlineStr">
        <is>
          <t>All: Area/variance calculation.</t>
        </is>
      </c>
    </row>
    <row r="430" ht="52" customHeight="1">
      <c r="A430" s="124" t="inlineStr">
        <is>
          <t>405</t>
        </is>
      </c>
      <c r="B430" s="125">
        <f>SQRT(D2)</f>
        <v/>
      </c>
      <c r="C430" s="126" t="inlineStr">
        <is>
          <t>Square Root</t>
        </is>
      </c>
      <c r="D430" s="127" t="inlineStr">
        <is>
          <t>Square root of a number.</t>
        </is>
      </c>
      <c r="E430" s="127" t="inlineStr">
        <is>
          <t>Square root nikalo.</t>
        </is>
      </c>
      <c r="F430" s="128" t="inlineStr">
        <is>
          <t>'SQRT'=Vargmool.</t>
        </is>
      </c>
      <c r="G430" s="10" t="inlineStr">
        <is>
          <t>All: Standard deviation calc.</t>
        </is>
      </c>
    </row>
    <row r="431" ht="52" customHeight="1">
      <c r="A431" s="11" t="inlineStr">
        <is>
          <t>406</t>
        </is>
      </c>
      <c r="B431" s="12">
        <f>PI()*D2^2</f>
        <v/>
      </c>
      <c r="C431" s="13" t="inlineStr">
        <is>
          <t>Circle Area</t>
        </is>
      </c>
      <c r="D431" s="14" t="inlineStr">
        <is>
          <t>Area of circle = π × r².</t>
        </is>
      </c>
      <c r="E431" s="14" t="inlineStr">
        <is>
          <t>Circle ki area nikalo.</t>
        </is>
      </c>
      <c r="F431" s="129" t="inlineStr">
        <is>
          <t>PI×r²=Circle Area.</t>
        </is>
      </c>
      <c r="G431" s="16" t="inlineStr">
        <is>
          <t>All: Engineering calculations.</t>
        </is>
      </c>
    </row>
    <row r="432" ht="52" customHeight="1">
      <c r="A432" s="124" t="inlineStr">
        <is>
          <t>407</t>
        </is>
      </c>
      <c r="B432" s="125">
        <f>D2*E2*F2</f>
        <v/>
      </c>
      <c r="C432" s="126" t="inlineStr">
        <is>
          <t>Volume</t>
        </is>
      </c>
      <c r="D432" s="127" t="inlineStr">
        <is>
          <t>Length × Width × Height = volume.</t>
        </is>
      </c>
      <c r="E432" s="127" t="inlineStr">
        <is>
          <t>Volume nikalo.</t>
        </is>
      </c>
      <c r="F432" s="128" t="inlineStr">
        <is>
          <t>L×W×H=Volume.</t>
        </is>
      </c>
      <c r="G432" s="10" t="inlineStr">
        <is>
          <t>All: Packaging/storage planning.</t>
        </is>
      </c>
    </row>
    <row r="433" ht="52" customHeight="1">
      <c r="A433" s="11" t="inlineStr">
        <is>
          <t>408</t>
        </is>
      </c>
      <c r="B433" s="12">
        <f>ISNUMBER(A1)</f>
        <v/>
      </c>
      <c r="C433" s="13" t="inlineStr">
        <is>
          <t>Is Number?</t>
        </is>
      </c>
      <c r="D433" s="14" t="inlineStr">
        <is>
          <t>Check if cell contains number.</t>
        </is>
      </c>
      <c r="E433" s="14" t="inlineStr">
        <is>
          <t>Cell mein number hai ya nahi.</t>
        </is>
      </c>
      <c r="F433" s="129" t="inlineStr">
        <is>
          <t>'ISNUMBER'=Number check.</t>
        </is>
      </c>
      <c r="G433" s="16" t="inlineStr">
        <is>
          <t>All: Data type validation.</t>
        </is>
      </c>
    </row>
    <row r="434" ht="52" customHeight="1">
      <c r="A434" s="124" t="inlineStr">
        <is>
          <t>409</t>
        </is>
      </c>
      <c r="B434" s="125">
        <f>ISBLANK(A1)</f>
        <v/>
      </c>
      <c r="C434" s="126" t="inlineStr">
        <is>
          <t>Is Blank?</t>
        </is>
      </c>
      <c r="D434" s="127" t="inlineStr">
        <is>
          <t>Check if cell is empty.</t>
        </is>
      </c>
      <c r="E434" s="127" t="inlineStr">
        <is>
          <t>Cell khaali hai ya nahi.</t>
        </is>
      </c>
      <c r="F434" s="128" t="inlineStr">
        <is>
          <t>'ISBLANK'=Empty check.</t>
        </is>
      </c>
      <c r="G434" s="10" t="inlineStr">
        <is>
          <t>All: Missing data detection.</t>
        </is>
      </c>
    </row>
    <row r="435" ht="52" customHeight="1">
      <c r="A435" s="11" t="inlineStr">
        <is>
          <t>410</t>
        </is>
      </c>
      <c r="B435" s="12">
        <f>ISTEXT(A1)</f>
        <v/>
      </c>
      <c r="C435" s="13" t="inlineStr">
        <is>
          <t>Is Text?</t>
        </is>
      </c>
      <c r="D435" s="14" t="inlineStr">
        <is>
          <t>Check if cell contains text.</t>
        </is>
      </c>
      <c r="E435" s="14" t="inlineStr">
        <is>
          <t>Cell mein text hai ya nahi.</t>
        </is>
      </c>
      <c r="F435" s="129" t="inlineStr">
        <is>
          <t>'ISTEXT'=Text check.</t>
        </is>
      </c>
      <c r="G435" s="16" t="inlineStr">
        <is>
          <t>All: Data type validation.</t>
        </is>
      </c>
    </row>
    <row r="436" ht="52" customHeight="1">
      <c r="A436" s="124" t="inlineStr">
        <is>
          <t>411</t>
        </is>
      </c>
      <c r="B436" s="125">
        <f>ISERROR(A1)</f>
        <v/>
      </c>
      <c r="C436" s="126" t="inlineStr">
        <is>
          <t>Is Error?</t>
        </is>
      </c>
      <c r="D436" s="127" t="inlineStr">
        <is>
          <t>Check if cell has error.</t>
        </is>
      </c>
      <c r="E436" s="127" t="inlineStr">
        <is>
          <t>Cell mein error hai ya nahi.</t>
        </is>
      </c>
      <c r="F436" s="128" t="inlineStr">
        <is>
          <t>'ISERROR'=Error check.</t>
        </is>
      </c>
      <c r="G436" s="10" t="inlineStr">
        <is>
          <t>All: Error detection in data.</t>
        </is>
      </c>
    </row>
    <row r="437" ht="52" customHeight="1">
      <c r="A437" s="11" t="inlineStr">
        <is>
          <t>412</t>
        </is>
      </c>
      <c r="B437" s="12">
        <f>TYPE(A1)</f>
        <v/>
      </c>
      <c r="C437" s="13" t="inlineStr">
        <is>
          <t>Data Type</t>
        </is>
      </c>
      <c r="D437" s="14" t="inlineStr">
        <is>
          <t>Returns type: 1=Num,2=Text,4=Logic.</t>
        </is>
      </c>
      <c r="E437" s="14" t="inlineStr">
        <is>
          <t>Data ka type number mein batao.</t>
        </is>
      </c>
      <c r="F437" s="129" t="inlineStr">
        <is>
          <t>'TYPE'=Data type code.</t>
        </is>
      </c>
      <c r="G437" s="16" t="inlineStr">
        <is>
          <t>All: Data validation and audit.</t>
        </is>
      </c>
    </row>
    <row r="438" ht="52" customHeight="1">
      <c r="A438" s="124" t="inlineStr">
        <is>
          <t>413</t>
        </is>
      </c>
      <c r="B438" s="125">
        <f>NOW()</f>
        <v/>
      </c>
      <c r="C438" s="126" t="inlineStr">
        <is>
          <t>Current DateTime</t>
        </is>
      </c>
      <c r="D438" s="127" t="inlineStr">
        <is>
          <t>Current date and time.</t>
        </is>
      </c>
      <c r="E438" s="127" t="inlineStr">
        <is>
          <t>Abhi ka date aur time.</t>
        </is>
      </c>
      <c r="F438" s="128" t="inlineStr">
        <is>
          <t>'NOW'=Abhi ka date+time.</t>
        </is>
      </c>
      <c r="G438" s="10" t="inlineStr">
        <is>
          <t>All: Timestamp in records.</t>
        </is>
      </c>
    </row>
    <row r="439" ht="52" customHeight="1">
      <c r="A439" s="11" t="inlineStr">
        <is>
          <t>414</t>
        </is>
      </c>
      <c r="B439" s="12">
        <f>TODAY()</f>
        <v/>
      </c>
      <c r="C439" s="13" t="inlineStr">
        <is>
          <t>Today's Date</t>
        </is>
      </c>
      <c r="D439" s="14" t="inlineStr">
        <is>
          <t>Today's date auto-updates.</t>
        </is>
      </c>
      <c r="E439" s="14" t="inlineStr">
        <is>
          <t>Aaj ki tarikh auto-update.</t>
        </is>
      </c>
      <c r="F439" s="129" t="inlineStr">
        <is>
          <t>'TODAY'=Aaj ki tarikh.</t>
        </is>
      </c>
      <c r="G439" s="16" t="inlineStr">
        <is>
          <t>All: Dynamic date in reports.</t>
        </is>
      </c>
    </row>
    <row r="440" ht="52" customHeight="1">
      <c r="A440" s="124" t="inlineStr">
        <is>
          <t>415</t>
        </is>
      </c>
      <c r="B440" s="125">
        <f>YEAR(A1)</f>
        <v/>
      </c>
      <c r="C440" s="126" t="inlineStr">
        <is>
          <t>Extract Year</t>
        </is>
      </c>
      <c r="D440" s="127" t="inlineStr">
        <is>
          <t>Year from date.</t>
        </is>
      </c>
      <c r="E440" s="127" t="inlineStr">
        <is>
          <t>Date se saal nikalo.</t>
        </is>
      </c>
      <c r="F440" s="128" t="inlineStr">
        <is>
          <t>'YEAR'=Saal nikalo.</t>
        </is>
      </c>
      <c r="G440" s="10" t="inlineStr">
        <is>
          <t>All: Year-wise analysis.</t>
        </is>
      </c>
    </row>
    <row r="441" ht="52" customHeight="1">
      <c r="A441" s="11" t="inlineStr">
        <is>
          <t>416</t>
        </is>
      </c>
      <c r="B441" s="12">
        <f>MONTH(A1)</f>
        <v/>
      </c>
      <c r="C441" s="13" t="inlineStr">
        <is>
          <t>Extract Month</t>
        </is>
      </c>
      <c r="D441" s="14" t="inlineStr">
        <is>
          <t>Month number from date.</t>
        </is>
      </c>
      <c r="E441" s="14" t="inlineStr">
        <is>
          <t>Date se mahina nikalo.</t>
        </is>
      </c>
      <c r="F441" s="129" t="inlineStr">
        <is>
          <t>'MONTH'=Mahina nikalo.</t>
        </is>
      </c>
      <c r="G441" s="16" t="inlineStr">
        <is>
          <t>All: Month-wise grouping.</t>
        </is>
      </c>
    </row>
    <row r="442" ht="52" customHeight="1">
      <c r="A442" s="124" t="inlineStr">
        <is>
          <t>417</t>
        </is>
      </c>
      <c r="B442" s="125">
        <f>DAY(A1)</f>
        <v/>
      </c>
      <c r="C442" s="126" t="inlineStr">
        <is>
          <t>Extract Day</t>
        </is>
      </c>
      <c r="D442" s="127" t="inlineStr">
        <is>
          <t>Day number from date.</t>
        </is>
      </c>
      <c r="E442" s="127" t="inlineStr">
        <is>
          <t>Date se din nikalo.</t>
        </is>
      </c>
      <c r="F442" s="128" t="inlineStr">
        <is>
          <t>'DAY'=Din nikalo.</t>
        </is>
      </c>
      <c r="G442" s="10" t="inlineStr">
        <is>
          <t>All: Day-wise analysis.</t>
        </is>
      </c>
    </row>
    <row r="443" ht="52" customHeight="1">
      <c r="A443" s="11" t="inlineStr">
        <is>
          <t>418</t>
        </is>
      </c>
      <c r="B443" s="12">
        <f>DATE(D2,E2,F2)</f>
        <v/>
      </c>
      <c r="C443" s="13" t="inlineStr">
        <is>
          <t>Make Date</t>
        </is>
      </c>
      <c r="D443" s="14" t="inlineStr">
        <is>
          <t>Create date from year/month/day.</t>
        </is>
      </c>
      <c r="E443" s="14" t="inlineStr">
        <is>
          <t>Year+Month+Day se date banao.</t>
        </is>
      </c>
      <c r="F443" s="129" t="inlineStr">
        <is>
          <t>'DATE'=Date banao.</t>
        </is>
      </c>
      <c r="G443" s="16" t="inlineStr">
        <is>
          <t>All: Dynamic date creation.</t>
        </is>
      </c>
    </row>
    <row r="444" ht="52" customHeight="1">
      <c r="A444" s="124" t="inlineStr">
        <is>
          <t>419</t>
        </is>
      </c>
      <c r="B444" s="125">
        <f>DAYS(B1,A1)</f>
        <v/>
      </c>
      <c r="C444" s="126" t="inlineStr">
        <is>
          <t>Days Between</t>
        </is>
      </c>
      <c r="D444" s="127" t="inlineStr">
        <is>
          <t>Days between two dates.</t>
        </is>
      </c>
      <c r="E444" s="127" t="inlineStr">
        <is>
          <t>Do dates ke beech din.</t>
        </is>
      </c>
      <c r="F444" s="128" t="inlineStr">
        <is>
          <t>'DAYS'=Days difference.</t>
        </is>
      </c>
      <c r="G444" s="10" t="inlineStr">
        <is>
          <t>All: Duration calculation.</t>
        </is>
      </c>
    </row>
    <row r="445" ht="52" customHeight="1">
      <c r="A445" s="11" t="inlineStr">
        <is>
          <t>420</t>
        </is>
      </c>
      <c r="B445" s="12">
        <f>WEEKNUM(A1)</f>
        <v/>
      </c>
      <c r="C445" s="13" t="inlineStr">
        <is>
          <t>Week Number</t>
        </is>
      </c>
      <c r="D445" s="14" t="inlineStr">
        <is>
          <t>Week number of the year.</t>
        </is>
      </c>
      <c r="E445" s="14" t="inlineStr">
        <is>
          <t>Saal mein kaun sa week hai.</t>
        </is>
      </c>
      <c r="F445" s="129" t="inlineStr">
        <is>
          <t>'WEEKNUM'=Week number.</t>
        </is>
      </c>
      <c r="G445" s="16" t="inlineStr">
        <is>
          <t>All: Weekly reporting grouping.</t>
        </is>
      </c>
    </row>
    <row r="446" ht="52" customHeight="1">
      <c r="A446" s="124" t="inlineStr">
        <is>
          <t>421</t>
        </is>
      </c>
      <c r="B446" s="125">
        <f>HOUR(A1)</f>
        <v/>
      </c>
      <c r="C446" s="126" t="inlineStr">
        <is>
          <t>Extract Hour</t>
        </is>
      </c>
      <c r="D446" s="127" t="inlineStr">
        <is>
          <t>Hour from a time value.</t>
        </is>
      </c>
      <c r="E446" s="127" t="inlineStr">
        <is>
          <t>Time se ghanta nikalo.</t>
        </is>
      </c>
      <c r="F446" s="128" t="inlineStr">
        <is>
          <t>'HOUR'=Ghanta nikalo.</t>
        </is>
      </c>
      <c r="G446" s="10" t="inlineStr">
        <is>
          <t>All: Shift time analysis.</t>
        </is>
      </c>
    </row>
    <row r="447" ht="52" customHeight="1">
      <c r="A447" s="11" t="inlineStr">
        <is>
          <t>422</t>
        </is>
      </c>
      <c r="B447" s="12">
        <f>MINUTE(A1)</f>
        <v/>
      </c>
      <c r="C447" s="13" t="inlineStr">
        <is>
          <t>Extract Minute</t>
        </is>
      </c>
      <c r="D447" s="14" t="inlineStr">
        <is>
          <t>Minute from a time value.</t>
        </is>
      </c>
      <c r="E447" s="14" t="inlineStr">
        <is>
          <t>Time se minute nikalo.</t>
        </is>
      </c>
      <c r="F447" s="129" t="inlineStr">
        <is>
          <t>'MINUTE'=Minute nikalo.</t>
        </is>
      </c>
      <c r="G447" s="16" t="inlineStr">
        <is>
          <t>All: Time tracking analysis.</t>
        </is>
      </c>
    </row>
    <row r="448" ht="52" customHeight="1">
      <c r="A448" s="124" t="inlineStr">
        <is>
          <t>423</t>
        </is>
      </c>
      <c r="B448" s="125">
        <f>TIME(D2,E2,F2)</f>
        <v/>
      </c>
      <c r="C448" s="126" t="inlineStr">
        <is>
          <t>Make Time</t>
        </is>
      </c>
      <c r="D448" s="127" t="inlineStr">
        <is>
          <t>Create time from H:M:S.</t>
        </is>
      </c>
      <c r="E448" s="127" t="inlineStr">
        <is>
          <t>Hour:Min:Sec se time banao.</t>
        </is>
      </c>
      <c r="F448" s="128" t="inlineStr">
        <is>
          <t>'TIME'=Time banao.</t>
        </is>
      </c>
      <c r="G448" s="10" t="inlineStr">
        <is>
          <t>All: Dynamic time creation.</t>
        </is>
      </c>
    </row>
  </sheetData>
  <autoFilter ref="A3:G448"/>
  <mergeCells count="24">
    <mergeCell ref="A4:G4"/>
    <mergeCell ref="A100:G100"/>
    <mergeCell ref="A156:G156"/>
    <mergeCell ref="A180:G180"/>
    <mergeCell ref="A30:G30"/>
    <mergeCell ref="A138:G138"/>
    <mergeCell ref="A225:G225"/>
    <mergeCell ref="A119:G119"/>
    <mergeCell ref="A1:G1"/>
    <mergeCell ref="A359:G359"/>
    <mergeCell ref="A241:G241"/>
    <mergeCell ref="A79:G79"/>
    <mergeCell ref="A370:G370"/>
    <mergeCell ref="A271:G271"/>
    <mergeCell ref="A256:G256"/>
    <mergeCell ref="A345:G345"/>
    <mergeCell ref="A316:G316"/>
    <mergeCell ref="A330:G330"/>
    <mergeCell ref="A56:G56"/>
    <mergeCell ref="A285:G285"/>
    <mergeCell ref="A2:G2"/>
    <mergeCell ref="A393:G393"/>
    <mergeCell ref="A297:G297"/>
    <mergeCell ref="A204:G2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54" customWidth="1" min="4" max="4"/>
  </cols>
  <sheetData>
    <row r="1" ht="28" customHeight="1">
      <c r="A1" s="130" t="inlineStr">
        <is>
          <t>22 DEPARTMENTS — FORMULA COUNT &amp; KEY KPIs INDEX</t>
        </is>
      </c>
    </row>
    <row r="2" ht="22" customHeight="1">
      <c r="A2" s="3" t="inlineStr">
        <is>
          <t>Dept #</t>
        </is>
      </c>
      <c r="B2" s="3" t="inlineStr">
        <is>
          <t>Department</t>
        </is>
      </c>
      <c r="C2" s="3" t="inlineStr">
        <is>
          <t>Key KPI Formulas</t>
        </is>
      </c>
      <c r="D2" s="3" t="inlineStr">
        <is>
          <t>Real MNC Application</t>
        </is>
      </c>
    </row>
    <row r="3" ht="36" customHeight="1">
      <c r="A3" s="131" t="inlineStr">
        <is>
          <t>1</t>
        </is>
      </c>
      <c r="B3" s="132" t="inlineStr">
        <is>
          <t>PRODUCTION</t>
        </is>
      </c>
      <c r="C3" s="133" t="inlineStr">
        <is>
          <t>OEE% | Efficiency% | Downtime% | Scrap Cost | Takt Time</t>
        </is>
      </c>
      <c r="D3" s="134" t="inlineStr">
        <is>
          <t>Shift tracking, line comparison, scrap analysis</t>
        </is>
      </c>
    </row>
    <row r="4" ht="36" customHeight="1">
      <c r="A4" s="135" t="inlineStr">
        <is>
          <t>2</t>
        </is>
      </c>
      <c r="B4" s="136" t="inlineStr">
        <is>
          <t>QUALITY</t>
        </is>
      </c>
      <c r="C4" s="137" t="inlineStr">
        <is>
          <t>DPPM | FPY% | RPN(FMEA) | ACCEPT/REJECT | Cp</t>
        </is>
      </c>
      <c r="D4" s="138" t="inlineStr">
        <is>
          <t>Inspection, vendor quality, CAPA, SPC</t>
        </is>
      </c>
    </row>
    <row r="5" ht="36" customHeight="1">
      <c r="A5" s="131" t="inlineStr">
        <is>
          <t>3</t>
        </is>
      </c>
      <c r="B5" s="139" t="inlineStr">
        <is>
          <t>UTILITY</t>
        </is>
      </c>
      <c r="C5" s="133" t="inlineStr">
        <is>
          <t>SEC | OEE% | MTBF | Water Balance | PM%</t>
        </is>
      </c>
      <c r="D5" s="134" t="inlineStr">
        <is>
          <t>Energy audit, BEE reporting, ZLD</t>
        </is>
      </c>
    </row>
    <row r="6" ht="36" customHeight="1">
      <c r="A6" s="135" t="inlineStr">
        <is>
          <t>4</t>
        </is>
      </c>
      <c r="B6" s="140" t="inlineStr">
        <is>
          <t>SAFETY</t>
        </is>
      </c>
      <c r="C6" s="137" t="inlineStr">
        <is>
          <t>LTIFR | TRIFR | PPE% | RPN | Safe Days</t>
        </is>
      </c>
      <c r="D6" s="138" t="inlineStr">
        <is>
          <t>Safety dashboard, HIRA, audit compliance</t>
        </is>
      </c>
    </row>
    <row r="7" ht="36" customHeight="1">
      <c r="A7" s="131" t="inlineStr">
        <is>
          <t>5</t>
        </is>
      </c>
      <c r="B7" s="141" t="inlineStr">
        <is>
          <t>MAINTENANCE</t>
        </is>
      </c>
      <c r="C7" s="133" t="inlineStr">
        <is>
          <t>MTBF | MTTR | PM% | Availability% | Work Orders</t>
        </is>
      </c>
      <c r="D7" s="134" t="inlineStr">
        <is>
          <t>TPM, breakdown tracking, spare management</t>
        </is>
      </c>
    </row>
    <row r="8" ht="36" customHeight="1">
      <c r="A8" s="135" t="inlineStr">
        <is>
          <t>6</t>
        </is>
      </c>
      <c r="B8" s="142" t="inlineStr">
        <is>
          <t>STORES</t>
        </is>
      </c>
      <c r="C8" s="137" t="inlineStr">
        <is>
          <t>Closing Stock | Reorder Alert | EOQ | Days of Stock</t>
        </is>
      </c>
      <c r="D8" s="138" t="inlineStr">
        <is>
          <t>Bin card, inventory valuation, ABC analysis</t>
        </is>
      </c>
    </row>
    <row r="9" ht="36" customHeight="1">
      <c r="A9" s="131" t="inlineStr">
        <is>
          <t>7</t>
        </is>
      </c>
      <c r="B9" s="143" t="inlineStr">
        <is>
          <t>PURCHASE</t>
        </is>
      </c>
      <c r="C9" s="133" t="inlineStr">
        <is>
          <t>Saving% | Lead Time | L1/L2/L3 Rank | Payment Due</t>
        </is>
      </c>
      <c r="D9" s="134" t="inlineStr">
        <is>
          <t>Procurement KPI, vendor management</t>
        </is>
      </c>
    </row>
    <row r="10" ht="36" customHeight="1">
      <c r="A10" s="135" t="inlineStr">
        <is>
          <t>8</t>
        </is>
      </c>
      <c r="B10" s="144" t="inlineStr">
        <is>
          <t>FINANCE</t>
        </is>
      </c>
      <c r="C10" s="137" t="inlineStr">
        <is>
          <t>GST | EMI | NPV | IRR | Growth% | Margin%</t>
        </is>
      </c>
      <c r="D10" s="138" t="inlineStr">
        <is>
          <t>P&amp;L, budget control, investment analysis</t>
        </is>
      </c>
    </row>
    <row r="11" ht="36" customHeight="1">
      <c r="A11" s="131" t="inlineStr">
        <is>
          <t>9</t>
        </is>
      </c>
      <c r="B11" s="145" t="inlineStr">
        <is>
          <t>HR</t>
        </is>
      </c>
      <c r="C11" s="133" t="inlineStr">
        <is>
          <t>Tenure | Net Salary | PF | ESIC | Attrition%</t>
        </is>
      </c>
      <c r="D11" s="134" t="inlineStr">
        <is>
          <t>Payroll, appraisal, headcount analytics</t>
        </is>
      </c>
    </row>
    <row r="12" ht="36" customHeight="1">
      <c r="A12" s="135" t="inlineStr">
        <is>
          <t>10</t>
        </is>
      </c>
      <c r="B12" s="146" t="inlineStr">
        <is>
          <t>SALES</t>
        </is>
      </c>
      <c r="C12" s="137" t="inlineStr">
        <is>
          <t>Achievement% | Win Rate% | Commission | NPS</t>
        </is>
      </c>
      <c r="D12" s="138" t="inlineStr">
        <is>
          <t>Leaderboard, target tracking, territory analysis</t>
        </is>
      </c>
    </row>
    <row r="13" ht="36" customHeight="1">
      <c r="A13" s="131" t="inlineStr">
        <is>
          <t>11</t>
        </is>
      </c>
      <c r="B13" s="147" t="inlineStr">
        <is>
          <t>LOGISTICS</t>
        </is>
      </c>
      <c r="C13" s="133" t="inlineStr">
        <is>
          <t>OTD% | Transit Days | Fill Rate% | Freight/Unit</t>
        </is>
      </c>
      <c r="D13" s="134" t="inlineStr">
        <is>
          <t>Delivery performance, freight cost analysis</t>
        </is>
      </c>
    </row>
    <row r="14" ht="36" customHeight="1">
      <c r="A14" s="135" t="inlineStr">
        <is>
          <t>12</t>
        </is>
      </c>
      <c r="B14" s="148" t="inlineStr">
        <is>
          <t>PLANNING</t>
        </is>
      </c>
      <c r="C14" s="137" t="inlineStr">
        <is>
          <t>MRP | Capacity Util% | Batch Count | Line Loading</t>
        </is>
      </c>
      <c r="D14" s="138" t="inlineStr">
        <is>
          <t>Production scheduling, MRP, capacity planning</t>
        </is>
      </c>
    </row>
    <row r="15" ht="36" customHeight="1">
      <c r="A15" s="131" t="inlineStr">
        <is>
          <t>13</t>
        </is>
      </c>
      <c r="B15" s="149" t="inlineStr">
        <is>
          <t>IT</t>
        </is>
      </c>
      <c r="C15" s="133" t="inlineStr">
        <is>
          <t>SLA% | Resolution% | Uptime% | Asset Age</t>
        </is>
      </c>
      <c r="D15" s="134" t="inlineStr">
        <is>
          <t>Helpdesk, SLA compliance, asset lifecycle</t>
        </is>
      </c>
    </row>
    <row r="16" ht="36" customHeight="1">
      <c r="A16" s="135" t="inlineStr">
        <is>
          <t>14</t>
        </is>
      </c>
      <c r="B16" s="150" t="inlineStr">
        <is>
          <t>ADMIN</t>
        </is>
      </c>
      <c r="C16" s="137" t="inlineStr">
        <is>
          <t>Travel Cost | Per Head Cost | Space Util% | TAT</t>
        </is>
      </c>
      <c r="D16" s="138" t="inlineStr">
        <is>
          <t>Expense control, facility management</t>
        </is>
      </c>
    </row>
    <row r="17" ht="36" customHeight="1">
      <c r="A17" s="131" t="inlineStr">
        <is>
          <t>15</t>
        </is>
      </c>
      <c r="B17" s="151" t="inlineStr">
        <is>
          <t>R&amp;D</t>
        </is>
      </c>
      <c r="C17" s="133" t="inlineStr">
        <is>
          <t>Project% | ROI | Budget Burn% | Time-to-Market</t>
        </is>
      </c>
      <c r="D17" s="134" t="inlineStr">
        <is>
          <t>NPD tracking, innovation KPIs, IP tracking</t>
        </is>
      </c>
    </row>
    <row r="18" ht="36" customHeight="1">
      <c r="A18" s="135" t="inlineStr">
        <is>
          <t>16</t>
        </is>
      </c>
      <c r="B18" s="152" t="inlineStr">
        <is>
          <t>ACADEMY</t>
        </is>
      </c>
      <c r="C18" s="137" t="inlineStr">
        <is>
          <t>Completion% | Pass/Fail | Grade | Hours/Person</t>
        </is>
      </c>
      <c r="D18" s="138" t="inlineStr">
        <is>
          <t>Training compliance, assessment, L&amp;D KPIs</t>
        </is>
      </c>
    </row>
    <row r="19" ht="36" customHeight="1">
      <c r="A19" s="131" t="inlineStr">
        <is>
          <t>17</t>
        </is>
      </c>
      <c r="B19" s="153" t="inlineStr">
        <is>
          <t>ENVIRONMENTAL</t>
        </is>
      </c>
      <c r="C19" s="133" t="inlineStr">
        <is>
          <t>CO2 Emission | Recycling% | Water Saved | Intensity</t>
        </is>
      </c>
      <c r="D19" s="134" t="inlineStr">
        <is>
          <t>GHG tracking, ESG reporting, ISO 14001</t>
        </is>
      </c>
    </row>
    <row r="20" ht="36" customHeight="1">
      <c r="A20" s="135" t="inlineStr">
        <is>
          <t>18</t>
        </is>
      </c>
      <c r="B20" s="154" t="inlineStr">
        <is>
          <t>COSTING</t>
        </is>
      </c>
      <c r="C20" s="137" t="inlineStr">
        <is>
          <t>Cost/Unit | Variance% | BEP | Margin% | COPQ</t>
        </is>
      </c>
      <c r="D20" s="138" t="inlineStr">
        <is>
          <t>Standard costing, variance analysis</t>
        </is>
      </c>
    </row>
    <row r="21" ht="36" customHeight="1">
      <c r="A21" s="131" t="inlineStr">
        <is>
          <t>19</t>
        </is>
      </c>
      <c r="B21" s="155" t="inlineStr">
        <is>
          <t>CUSTOMER SERVICE</t>
        </is>
      </c>
      <c r="C21" s="133" t="inlineStr">
        <is>
          <t>CSAT% | NPS | Resolution% | TAT | Warranty Cost</t>
        </is>
      </c>
      <c r="D21" s="134" t="inlineStr">
        <is>
          <t>Complaint management, customer satisfaction</t>
        </is>
      </c>
    </row>
    <row r="22" ht="36" customHeight="1">
      <c r="A22" s="135" t="inlineStr">
        <is>
          <t>20</t>
        </is>
      </c>
      <c r="B22" s="156" t="inlineStr">
        <is>
          <t>LEGAL</t>
        </is>
      </c>
      <c r="C22" s="137" t="inlineStr">
        <is>
          <t>Contract Expiry | Compliance% | License Alert</t>
        </is>
      </c>
      <c r="D22" s="138" t="inlineStr">
        <is>
          <t>Regulatory compliance, contract management</t>
        </is>
      </c>
    </row>
    <row r="23" ht="36" customHeight="1">
      <c r="A23" s="131" t="inlineStr">
        <is>
          <t>21</t>
        </is>
      </c>
      <c r="B23" s="157" t="inlineStr">
        <is>
          <t>MIS</t>
        </is>
      </c>
      <c r="C23" s="133" t="inlineStr">
        <is>
          <t>Date Formats | Lookup | Filter | Sort | Duplicate Check</t>
        </is>
      </c>
      <c r="D23" s="134" t="inlineStr">
        <is>
          <t>Report automation, data quality, dashboards</t>
        </is>
      </c>
    </row>
    <row r="24" ht="36" customHeight="1">
      <c r="A24" s="135" t="inlineStr">
        <is>
          <t>22</t>
        </is>
      </c>
      <c r="B24" s="158" t="inlineStr">
        <is>
          <t>GENERAL</t>
        </is>
      </c>
      <c r="C24" s="137" t="inlineStr">
        <is>
          <t>IF | SUM | VLOOKUP | INDEX+MATCH | TEXT | DATE | STAT</t>
        </is>
      </c>
      <c r="D24" s="138" t="inlineStr">
        <is>
          <t>Universal formulas for all departments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2026-09-12T18:42:46Z</dcterms:created>
  <dcterms:modified xsi:type="dcterms:W3CDTF">2026-09-12T18:42:46Z</dcterms:modified>
</cp:coreProperties>
</file>